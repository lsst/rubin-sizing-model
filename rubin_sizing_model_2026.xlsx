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tani/Codes/rubin-sizing-model/"/>
    </mc:Choice>
  </mc:AlternateContent>
  <xr:revisionPtr revIDLastSave="0" documentId="13_ncr:1_{AC6679FB-E099-4344-BB4E-DB6C54F6B044}" xr6:coauthVersionLast="47" xr6:coauthVersionMax="47" xr10:uidLastSave="{00000000-0000-0000-0000-000000000000}"/>
  <bookViews>
    <workbookView xWindow="0" yWindow="660" windowWidth="34560" windowHeight="19880" activeTab="8" xr2:uid="{00000000-000D-0000-FFFF-FFFF00000000}"/>
  </bookViews>
  <sheets>
    <sheet name="Reference Data" sheetId="1" r:id="rId1"/>
    <sheet name="Ops Storage" sheetId="2" r:id="rId2"/>
    <sheet name="Ops Compute" sheetId="3" r:id="rId3"/>
    <sheet name="Model" sheetId="4" r:id="rId4"/>
    <sheet name="Ops Costs" sheetId="5" r:id="rId5"/>
    <sheet name="Purchase Plan" sheetId="6" r:id="rId6"/>
    <sheet name="International Compute" sheetId="7" r:id="rId7"/>
    <sheet name="Yearly Readiness" sheetId="8" r:id="rId8"/>
    <sheet name="Hardware Refresh" sheetId="9" r:id="rId9"/>
    <sheet name="Charts" sheetId="10" r:id="rId10"/>
  </sheets>
  <definedNames>
    <definedName name="computeLifetime">Model!$B$23</definedName>
    <definedName name="cpuFac">Model!$C$19</definedName>
    <definedName name="diskFac">Model!$C$20</definedName>
    <definedName name="qservFac">Model!$C$21</definedName>
    <definedName name="scaleYear">Model!$B$22</definedName>
    <definedName name="storageLifetime">Model!$B$24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0" l="1"/>
  <c r="B46" i="10"/>
  <c r="B45" i="10"/>
  <c r="B44" i="10"/>
  <c r="B43" i="10"/>
  <c r="B42" i="10"/>
  <c r="B41" i="10"/>
  <c r="B40" i="10"/>
  <c r="B39" i="10"/>
  <c r="B38" i="10"/>
  <c r="P22" i="9"/>
  <c r="O22" i="9"/>
  <c r="N22" i="9"/>
  <c r="M22" i="9"/>
  <c r="L22" i="9"/>
  <c r="K22" i="9"/>
  <c r="J22" i="9"/>
  <c r="I22" i="9"/>
  <c r="H22" i="9"/>
  <c r="G22" i="9"/>
  <c r="P21" i="9"/>
  <c r="O21" i="9"/>
  <c r="N21" i="9"/>
  <c r="M21" i="9"/>
  <c r="L21" i="9"/>
  <c r="K21" i="9"/>
  <c r="J21" i="9"/>
  <c r="I21" i="9"/>
  <c r="H21" i="9"/>
  <c r="G21" i="9"/>
  <c r="P20" i="9"/>
  <c r="O20" i="9"/>
  <c r="N20" i="9"/>
  <c r="M20" i="9"/>
  <c r="L20" i="9"/>
  <c r="K20" i="9"/>
  <c r="J20" i="9"/>
  <c r="I20" i="9"/>
  <c r="H20" i="9"/>
  <c r="G20" i="9"/>
  <c r="P19" i="9"/>
  <c r="O19" i="9"/>
  <c r="N19" i="9"/>
  <c r="M19" i="9"/>
  <c r="L19" i="9"/>
  <c r="K19" i="9"/>
  <c r="J19" i="9"/>
  <c r="I19" i="9"/>
  <c r="H19" i="9"/>
  <c r="G19" i="9"/>
  <c r="P18" i="9"/>
  <c r="O18" i="9"/>
  <c r="N18" i="9"/>
  <c r="M18" i="9"/>
  <c r="L18" i="9"/>
  <c r="K18" i="9"/>
  <c r="J18" i="9"/>
  <c r="I18" i="9"/>
  <c r="H18" i="9"/>
  <c r="G18" i="9"/>
  <c r="P17" i="9"/>
  <c r="O17" i="9"/>
  <c r="N17" i="9"/>
  <c r="M17" i="9"/>
  <c r="L17" i="9"/>
  <c r="K17" i="9"/>
  <c r="J17" i="9"/>
  <c r="I17" i="9"/>
  <c r="H17" i="9"/>
  <c r="G17" i="9"/>
  <c r="P16" i="9"/>
  <c r="O16" i="9"/>
  <c r="N16" i="9"/>
  <c r="M16" i="9"/>
  <c r="L16" i="9"/>
  <c r="K16" i="9"/>
  <c r="J16" i="9"/>
  <c r="I16" i="9"/>
  <c r="H16" i="9"/>
  <c r="G16" i="9"/>
  <c r="P15" i="9"/>
  <c r="O15" i="9"/>
  <c r="N15" i="9"/>
  <c r="M15" i="9"/>
  <c r="L15" i="9"/>
  <c r="K15" i="9"/>
  <c r="J15" i="9"/>
  <c r="I15" i="9"/>
  <c r="H15" i="9"/>
  <c r="G15" i="9"/>
  <c r="P14" i="9"/>
  <c r="O14" i="9"/>
  <c r="N14" i="9"/>
  <c r="M14" i="9"/>
  <c r="L14" i="9"/>
  <c r="K14" i="9"/>
  <c r="J14" i="9"/>
  <c r="I14" i="9"/>
  <c r="H14" i="9"/>
  <c r="G14" i="9"/>
  <c r="P13" i="9"/>
  <c r="O13" i="9"/>
  <c r="N13" i="9"/>
  <c r="M13" i="9"/>
  <c r="L13" i="9"/>
  <c r="K13" i="9"/>
  <c r="J13" i="9"/>
  <c r="I13" i="9"/>
  <c r="H13" i="9"/>
  <c r="G13" i="9"/>
  <c r="P12" i="9"/>
  <c r="O12" i="9"/>
  <c r="N12" i="9"/>
  <c r="N23" i="9" s="1"/>
  <c r="M12" i="9"/>
  <c r="L12" i="9"/>
  <c r="K12" i="9"/>
  <c r="J12" i="9"/>
  <c r="I12" i="9"/>
  <c r="H12" i="9"/>
  <c r="G12" i="9"/>
  <c r="P11" i="9"/>
  <c r="O11" i="9"/>
  <c r="N11" i="9"/>
  <c r="M11" i="9"/>
  <c r="L11" i="9"/>
  <c r="K11" i="9"/>
  <c r="J11" i="9"/>
  <c r="I11" i="9"/>
  <c r="H11" i="9"/>
  <c r="G11" i="9"/>
  <c r="P10" i="9"/>
  <c r="O10" i="9"/>
  <c r="N10" i="9"/>
  <c r="M10" i="9"/>
  <c r="L10" i="9"/>
  <c r="K10" i="9"/>
  <c r="J10" i="9"/>
  <c r="I10" i="9"/>
  <c r="H10" i="9"/>
  <c r="G10" i="9"/>
  <c r="P9" i="9"/>
  <c r="P23" i="9" s="1"/>
  <c r="O9" i="9"/>
  <c r="N9" i="9"/>
  <c r="M9" i="9"/>
  <c r="L9" i="9"/>
  <c r="K9" i="9"/>
  <c r="J9" i="9"/>
  <c r="I9" i="9"/>
  <c r="H9" i="9"/>
  <c r="G9" i="9"/>
  <c r="G23" i="9" s="1"/>
  <c r="P8" i="9"/>
  <c r="O8" i="9"/>
  <c r="N8" i="9"/>
  <c r="M8" i="9"/>
  <c r="L8" i="9"/>
  <c r="L23" i="9" s="1"/>
  <c r="K8" i="9"/>
  <c r="J8" i="9"/>
  <c r="I8" i="9"/>
  <c r="H8" i="9"/>
  <c r="G8" i="9"/>
  <c r="P7" i="9"/>
  <c r="O7" i="9"/>
  <c r="O23" i="9" s="1"/>
  <c r="N7" i="9"/>
  <c r="M7" i="9"/>
  <c r="M23" i="9" s="1"/>
  <c r="L7" i="9"/>
  <c r="K7" i="9"/>
  <c r="K23" i="9" s="1"/>
  <c r="J7" i="9"/>
  <c r="I7" i="9"/>
  <c r="I23" i="9" s="1"/>
  <c r="H7" i="9"/>
  <c r="H23" i="9" s="1"/>
  <c r="L17" i="7"/>
  <c r="J17" i="7"/>
  <c r="F17" i="7"/>
  <c r="L16" i="7"/>
  <c r="H16" i="7"/>
  <c r="G16" i="7"/>
  <c r="F16" i="7"/>
  <c r="L15" i="7"/>
  <c r="H15" i="7"/>
  <c r="G15" i="7"/>
  <c r="F15" i="7"/>
  <c r="D15" i="7"/>
  <c r="D11" i="7"/>
  <c r="D20" i="7" s="1"/>
  <c r="D21" i="7" s="1"/>
  <c r="D10" i="7"/>
  <c r="G8" i="7"/>
  <c r="G12" i="7" s="1"/>
  <c r="G25" i="7" s="1"/>
  <c r="G26" i="7" s="1"/>
  <c r="F8" i="7"/>
  <c r="D8" i="7"/>
  <c r="D12" i="7" s="1"/>
  <c r="D25" i="7" s="1"/>
  <c r="D26" i="7" s="1"/>
  <c r="L7" i="7"/>
  <c r="K7" i="7"/>
  <c r="K15" i="7" s="1"/>
  <c r="J7" i="7"/>
  <c r="J15" i="7" s="1"/>
  <c r="I7" i="7"/>
  <c r="I17" i="7" s="1"/>
  <c r="H7" i="7"/>
  <c r="H17" i="7" s="1"/>
  <c r="G7" i="7"/>
  <c r="G17" i="7" s="1"/>
  <c r="F7" i="7"/>
  <c r="E7" i="7"/>
  <c r="E17" i="7" s="1"/>
  <c r="D7" i="7"/>
  <c r="D16" i="7" s="1"/>
  <c r="C7" i="7"/>
  <c r="C16" i="7" s="1"/>
  <c r="B60" i="6"/>
  <c r="B47" i="6"/>
  <c r="B48" i="6" s="1"/>
  <c r="B50" i="6" s="1"/>
  <c r="L17" i="6"/>
  <c r="K17" i="6"/>
  <c r="J17" i="6"/>
  <c r="I17" i="6"/>
  <c r="H17" i="6"/>
  <c r="G17" i="6"/>
  <c r="F17" i="6"/>
  <c r="E17" i="6"/>
  <c r="D17" i="6"/>
  <c r="I9" i="6"/>
  <c r="E9" i="6"/>
  <c r="D8" i="6"/>
  <c r="I7" i="6"/>
  <c r="I8" i="6" s="1"/>
  <c r="F7" i="6"/>
  <c r="F8" i="6" s="1"/>
  <c r="D7" i="6"/>
  <c r="C7" i="6"/>
  <c r="C8" i="6" s="1"/>
  <c r="M8" i="5"/>
  <c r="C8" i="5"/>
  <c r="L7" i="5"/>
  <c r="K7" i="5"/>
  <c r="J7" i="5"/>
  <c r="I7" i="5"/>
  <c r="H7" i="5"/>
  <c r="G7" i="5"/>
  <c r="F7" i="5"/>
  <c r="E7" i="5"/>
  <c r="D7" i="5"/>
  <c r="C7" i="5"/>
  <c r="C21" i="4"/>
  <c r="C20" i="4"/>
  <c r="C19" i="4"/>
  <c r="G33" i="3"/>
  <c r="F33" i="3"/>
  <c r="G19" i="3"/>
  <c r="G18" i="3"/>
  <c r="F18" i="3"/>
  <c r="J16" i="3"/>
  <c r="J15" i="3"/>
  <c r="J17" i="3" s="1"/>
  <c r="G15" i="3"/>
  <c r="L14" i="3"/>
  <c r="L15" i="3" s="1"/>
  <c r="J14" i="3"/>
  <c r="F14" i="3"/>
  <c r="D14" i="3"/>
  <c r="C14" i="3"/>
  <c r="K12" i="3"/>
  <c r="L11" i="3"/>
  <c r="K11" i="3"/>
  <c r="J11" i="3"/>
  <c r="I11" i="3"/>
  <c r="I12" i="3" s="1"/>
  <c r="H11" i="3"/>
  <c r="H12" i="3" s="1"/>
  <c r="G11" i="3"/>
  <c r="F11" i="3"/>
  <c r="E11" i="3"/>
  <c r="E12" i="3" s="1"/>
  <c r="D11" i="3"/>
  <c r="C11" i="3"/>
  <c r="L10" i="3"/>
  <c r="L12" i="3" s="1"/>
  <c r="K10" i="3"/>
  <c r="J10" i="3"/>
  <c r="J12" i="3" s="1"/>
  <c r="I10" i="3"/>
  <c r="H10" i="3"/>
  <c r="G10" i="3"/>
  <c r="F10" i="3"/>
  <c r="F12" i="3" s="1"/>
  <c r="E10" i="3"/>
  <c r="D10" i="3"/>
  <c r="D12" i="3" s="1"/>
  <c r="C10" i="3"/>
  <c r="C12" i="3" s="1"/>
  <c r="L9" i="3"/>
  <c r="L9" i="6" s="1"/>
  <c r="K9" i="3"/>
  <c r="K9" i="6" s="1"/>
  <c r="J9" i="3"/>
  <c r="J9" i="6" s="1"/>
  <c r="I9" i="3"/>
  <c r="H9" i="3"/>
  <c r="H9" i="6" s="1"/>
  <c r="G9" i="3"/>
  <c r="G9" i="6" s="1"/>
  <c r="F9" i="3"/>
  <c r="F9" i="6" s="1"/>
  <c r="E9" i="3"/>
  <c r="D9" i="3"/>
  <c r="D9" i="6" s="1"/>
  <c r="C9" i="3"/>
  <c r="C9" i="6" s="1"/>
  <c r="G6" i="3"/>
  <c r="F6" i="3"/>
  <c r="K5" i="3"/>
  <c r="J5" i="3"/>
  <c r="G5" i="3"/>
  <c r="G7" i="3" s="1"/>
  <c r="C5" i="3"/>
  <c r="C7" i="3" s="1"/>
  <c r="L4" i="3"/>
  <c r="L8" i="7" s="1"/>
  <c r="L10" i="7" s="1"/>
  <c r="K4" i="3"/>
  <c r="K14" i="3" s="1"/>
  <c r="K33" i="3" s="1"/>
  <c r="J4" i="3"/>
  <c r="I4" i="3"/>
  <c r="I14" i="3" s="1"/>
  <c r="H4" i="3"/>
  <c r="I5" i="3" s="1"/>
  <c r="L6" i="3" s="1"/>
  <c r="G4" i="3"/>
  <c r="G14" i="3" s="1"/>
  <c r="G10" i="6" s="1"/>
  <c r="F4" i="3"/>
  <c r="E4" i="3"/>
  <c r="D4" i="3"/>
  <c r="C4" i="3"/>
  <c r="D5" i="3" s="1"/>
  <c r="D7" i="3" s="1"/>
  <c r="C65" i="2"/>
  <c r="D65" i="2" s="1"/>
  <c r="E65" i="2" s="1"/>
  <c r="F65" i="2" s="1"/>
  <c r="G65" i="2" s="1"/>
  <c r="H65" i="2" s="1"/>
  <c r="I65" i="2" s="1"/>
  <c r="J65" i="2" s="1"/>
  <c r="K65" i="2" s="1"/>
  <c r="L65" i="2" s="1"/>
  <c r="L59" i="2"/>
  <c r="D35" i="10" s="1"/>
  <c r="K59" i="2"/>
  <c r="D34" i="10" s="1"/>
  <c r="J59" i="2"/>
  <c r="D33" i="10" s="1"/>
  <c r="I59" i="2"/>
  <c r="D32" i="10" s="1"/>
  <c r="H59" i="2"/>
  <c r="D31" i="10" s="1"/>
  <c r="G59" i="2"/>
  <c r="D30" i="10" s="1"/>
  <c r="F59" i="2"/>
  <c r="D29" i="10" s="1"/>
  <c r="E59" i="2"/>
  <c r="D28" i="10" s="1"/>
  <c r="D59" i="2"/>
  <c r="D27" i="10" s="1"/>
  <c r="C59" i="2"/>
  <c r="D26" i="10" s="1"/>
  <c r="D58" i="2"/>
  <c r="C27" i="10" s="1"/>
  <c r="C58" i="2"/>
  <c r="C26" i="10" s="1"/>
  <c r="C55" i="2"/>
  <c r="C27" i="6" s="1"/>
  <c r="C28" i="6" s="1"/>
  <c r="K50" i="2"/>
  <c r="K51" i="2" s="1"/>
  <c r="I50" i="2"/>
  <c r="K49" i="2"/>
  <c r="I49" i="2"/>
  <c r="G49" i="2"/>
  <c r="D49" i="2"/>
  <c r="L44" i="2"/>
  <c r="K44" i="2"/>
  <c r="J44" i="2"/>
  <c r="I44" i="2"/>
  <c r="H44" i="2"/>
  <c r="G44" i="2"/>
  <c r="F44" i="2"/>
  <c r="E44" i="2"/>
  <c r="D44" i="2"/>
  <c r="C44" i="2"/>
  <c r="L43" i="2"/>
  <c r="K43" i="2"/>
  <c r="J43" i="2"/>
  <c r="L55" i="2" s="1"/>
  <c r="L24" i="3" s="1"/>
  <c r="I43" i="2"/>
  <c r="H43" i="2"/>
  <c r="G43" i="2"/>
  <c r="H55" i="2" s="1"/>
  <c r="F43" i="2"/>
  <c r="E43" i="2"/>
  <c r="D43" i="2"/>
  <c r="C43" i="2"/>
  <c r="L42" i="2"/>
  <c r="K42" i="2"/>
  <c r="F34" i="10" s="1"/>
  <c r="J42" i="2"/>
  <c r="I42" i="2"/>
  <c r="F32" i="10" s="1"/>
  <c r="H42" i="2"/>
  <c r="G42" i="2"/>
  <c r="F42" i="2"/>
  <c r="H50" i="2" s="1"/>
  <c r="E42" i="2"/>
  <c r="F28" i="10" s="1"/>
  <c r="D42" i="2"/>
  <c r="C42" i="2"/>
  <c r="K41" i="2"/>
  <c r="L39" i="2"/>
  <c r="K39" i="2"/>
  <c r="I39" i="2"/>
  <c r="F39" i="2"/>
  <c r="D39" i="2"/>
  <c r="C39" i="2"/>
  <c r="C60" i="2" s="1"/>
  <c r="E26" i="10" s="1"/>
  <c r="L38" i="2"/>
  <c r="I38" i="2"/>
  <c r="G38" i="2"/>
  <c r="F38" i="2"/>
  <c r="D38" i="2"/>
  <c r="C38" i="2"/>
  <c r="L31" i="2"/>
  <c r="K31" i="2"/>
  <c r="J31" i="2"/>
  <c r="J49" i="2" s="1"/>
  <c r="I31" i="2"/>
  <c r="H31" i="2"/>
  <c r="G31" i="2"/>
  <c r="F31" i="2"/>
  <c r="E31" i="2"/>
  <c r="E49" i="2" s="1"/>
  <c r="D31" i="2"/>
  <c r="C31" i="2"/>
  <c r="L21" i="2"/>
  <c r="K21" i="2"/>
  <c r="J21" i="2"/>
  <c r="I21" i="2"/>
  <c r="H21" i="2"/>
  <c r="G21" i="2"/>
  <c r="F21" i="2"/>
  <c r="E21" i="2"/>
  <c r="D21" i="2"/>
  <c r="C21" i="2"/>
  <c r="L20" i="2"/>
  <c r="K20" i="2"/>
  <c r="K35" i="2" s="1"/>
  <c r="I20" i="2"/>
  <c r="I35" i="2" s="1"/>
  <c r="F20" i="2"/>
  <c r="D20" i="2"/>
  <c r="C20" i="2"/>
  <c r="C35" i="2" s="1"/>
  <c r="C57" i="2" s="1"/>
  <c r="L19" i="2"/>
  <c r="K19" i="2"/>
  <c r="K38" i="2" s="1"/>
  <c r="J19" i="2"/>
  <c r="I19" i="2"/>
  <c r="H19" i="2"/>
  <c r="G19" i="2"/>
  <c r="F19" i="2"/>
  <c r="E19" i="2"/>
  <c r="D19" i="2"/>
  <c r="C19" i="2"/>
  <c r="B22" i="10" l="1"/>
  <c r="K21" i="6"/>
  <c r="B10" i="10"/>
  <c r="K45" i="2"/>
  <c r="H27" i="6"/>
  <c r="D7" i="10"/>
  <c r="H24" i="3"/>
  <c r="C19" i="10"/>
  <c r="G55" i="2"/>
  <c r="I55" i="2"/>
  <c r="J18" i="3"/>
  <c r="J10" i="6"/>
  <c r="J33" i="3"/>
  <c r="F58" i="2"/>
  <c r="C29" i="10" s="1"/>
  <c r="F41" i="2"/>
  <c r="F22" i="7" s="1"/>
  <c r="K55" i="2"/>
  <c r="M7" i="5"/>
  <c r="F11" i="7"/>
  <c r="F20" i="7" s="1"/>
  <c r="F21" i="7" s="1"/>
  <c r="F12" i="7"/>
  <c r="F25" i="7" s="1"/>
  <c r="F26" i="7" s="1"/>
  <c r="F10" i="7"/>
  <c r="G41" i="2"/>
  <c r="E50" i="2"/>
  <c r="E51" i="2" s="1"/>
  <c r="D50" i="2"/>
  <c r="D51" i="2" s="1"/>
  <c r="C50" i="2"/>
  <c r="F26" i="10"/>
  <c r="I22" i="7"/>
  <c r="J55" i="2"/>
  <c r="E35" i="2"/>
  <c r="E20" i="2"/>
  <c r="E38" i="2"/>
  <c r="E7" i="6"/>
  <c r="E8" i="6" s="1"/>
  <c r="F5" i="3"/>
  <c r="E5" i="3"/>
  <c r="E14" i="3"/>
  <c r="E8" i="7"/>
  <c r="F29" i="10"/>
  <c r="G50" i="2"/>
  <c r="G51" i="2" s="1"/>
  <c r="D11" i="10"/>
  <c r="C23" i="10"/>
  <c r="L27" i="6"/>
  <c r="H49" i="2"/>
  <c r="H51" i="2" s="1"/>
  <c r="G35" i="2"/>
  <c r="G20" i="2"/>
  <c r="G39" i="2"/>
  <c r="I60" i="2" s="1"/>
  <c r="E32" i="10" s="1"/>
  <c r="I45" i="2"/>
  <c r="F30" i="10"/>
  <c r="D60" i="2"/>
  <c r="E27" i="10" s="1"/>
  <c r="H20" i="2"/>
  <c r="H38" i="2"/>
  <c r="E39" i="2"/>
  <c r="E60" i="2" s="1"/>
  <c r="E28" i="10" s="1"/>
  <c r="C49" i="2"/>
  <c r="G58" i="2"/>
  <c r="C30" i="10" s="1"/>
  <c r="H60" i="2"/>
  <c r="E31" i="10" s="1"/>
  <c r="I18" i="3"/>
  <c r="I10" i="6"/>
  <c r="I11" i="6" s="1"/>
  <c r="I33" i="3"/>
  <c r="J38" i="2"/>
  <c r="J39" i="2"/>
  <c r="L60" i="2" s="1"/>
  <c r="E35" i="10" s="1"/>
  <c r="J20" i="2"/>
  <c r="J35" i="2" s="1"/>
  <c r="L49" i="2"/>
  <c r="L51" i="2" s="1"/>
  <c r="H39" i="2"/>
  <c r="J60" i="2" s="1"/>
  <c r="E33" i="10" s="1"/>
  <c r="F49" i="2"/>
  <c r="F51" i="2" s="1"/>
  <c r="J7" i="6"/>
  <c r="J8" i="6" s="1"/>
  <c r="J11" i="6" s="1"/>
  <c r="J8" i="7"/>
  <c r="K22" i="7"/>
  <c r="K27" i="7"/>
  <c r="L58" i="2"/>
  <c r="C35" i="10" s="1"/>
  <c r="H35" i="2"/>
  <c r="K60" i="2"/>
  <c r="E34" i="10" s="1"/>
  <c r="K53" i="2"/>
  <c r="C61" i="2"/>
  <c r="L35" i="2"/>
  <c r="F35" i="10"/>
  <c r="L50" i="2"/>
  <c r="I51" i="2"/>
  <c r="C33" i="3"/>
  <c r="C15" i="3"/>
  <c r="C18" i="3"/>
  <c r="C19" i="3" s="1"/>
  <c r="J20" i="3"/>
  <c r="B26" i="10"/>
  <c r="C63" i="2"/>
  <c r="E55" i="2"/>
  <c r="F55" i="2"/>
  <c r="D33" i="3"/>
  <c r="D15" i="3"/>
  <c r="D18" i="3"/>
  <c r="D35" i="2"/>
  <c r="C41" i="2"/>
  <c r="C45" i="2" s="1"/>
  <c r="C53" i="2" s="1"/>
  <c r="C22" i="7"/>
  <c r="C27" i="7"/>
  <c r="F50" i="2"/>
  <c r="F35" i="2"/>
  <c r="I41" i="2"/>
  <c r="I27" i="7" s="1"/>
  <c r="E16" i="7"/>
  <c r="K17" i="7"/>
  <c r="F31" i="10"/>
  <c r="L41" i="2"/>
  <c r="L22" i="7" s="1"/>
  <c r="J50" i="2"/>
  <c r="J51" i="2" s="1"/>
  <c r="L5" i="3"/>
  <c r="L7" i="3" s="1"/>
  <c r="F10" i="6"/>
  <c r="F11" i="6" s="1"/>
  <c r="I8" i="7"/>
  <c r="L12" i="7"/>
  <c r="L25" i="7" s="1"/>
  <c r="L26" i="7" s="1"/>
  <c r="G11" i="7"/>
  <c r="G20" i="7" s="1"/>
  <c r="G21" i="7" s="1"/>
  <c r="C15" i="7"/>
  <c r="I16" i="7"/>
  <c r="F27" i="10"/>
  <c r="H5" i="3"/>
  <c r="H8" i="7"/>
  <c r="G12" i="3"/>
  <c r="H14" i="3"/>
  <c r="G7" i="6"/>
  <c r="G8" i="6" s="1"/>
  <c r="G11" i="6" s="1"/>
  <c r="K8" i="7"/>
  <c r="J16" i="7"/>
  <c r="D41" i="2"/>
  <c r="D22" i="7" s="1"/>
  <c r="I53" i="2"/>
  <c r="I58" i="2"/>
  <c r="C32" i="10" s="1"/>
  <c r="H7" i="6"/>
  <c r="H8" i="6" s="1"/>
  <c r="E15" i="7"/>
  <c r="K16" i="7"/>
  <c r="K15" i="3"/>
  <c r="J6" i="3"/>
  <c r="J7" i="3" s="1"/>
  <c r="L33" i="3"/>
  <c r="L18" i="3"/>
  <c r="L19" i="3" s="1"/>
  <c r="K10" i="6"/>
  <c r="C17" i="7"/>
  <c r="K7" i="6"/>
  <c r="K8" i="6" s="1"/>
  <c r="K11" i="6" s="1"/>
  <c r="L10" i="6"/>
  <c r="L11" i="7"/>
  <c r="L20" i="7" s="1"/>
  <c r="L21" i="7" s="1"/>
  <c r="D2" i="10"/>
  <c r="C24" i="3"/>
  <c r="C25" i="3" s="1"/>
  <c r="C14" i="10"/>
  <c r="L7" i="6"/>
  <c r="L8" i="6" s="1"/>
  <c r="G10" i="7"/>
  <c r="I15" i="7"/>
  <c r="F33" i="10"/>
  <c r="D55" i="2"/>
  <c r="J23" i="9"/>
  <c r="K18" i="3"/>
  <c r="K19" i="3" s="1"/>
  <c r="C8" i="7"/>
  <c r="D17" i="7"/>
  <c r="B3" i="10" l="1"/>
  <c r="D21" i="6"/>
  <c r="B15" i="10"/>
  <c r="E12" i="5"/>
  <c r="B16" i="10"/>
  <c r="B4" i="10"/>
  <c r="E21" i="6"/>
  <c r="C2" i="10"/>
  <c r="C13" i="5"/>
  <c r="C64" i="2"/>
  <c r="C23" i="6"/>
  <c r="C24" i="6" s="1"/>
  <c r="D10" i="8"/>
  <c r="D7" i="8"/>
  <c r="C22" i="10"/>
  <c r="D10" i="10"/>
  <c r="K27" i="6"/>
  <c r="K24" i="3"/>
  <c r="F27" i="7"/>
  <c r="H28" i="6"/>
  <c r="B21" i="10"/>
  <c r="B9" i="10"/>
  <c r="J21" i="6"/>
  <c r="J12" i="5"/>
  <c r="F53" i="2"/>
  <c r="F7" i="3"/>
  <c r="I6" i="3"/>
  <c r="I7" i="3" s="1"/>
  <c r="G53" i="2"/>
  <c r="E12" i="7"/>
  <c r="E25" i="7" s="1"/>
  <c r="E26" i="7" s="1"/>
  <c r="E10" i="7"/>
  <c r="E11" i="7"/>
  <c r="E20" i="7" s="1"/>
  <c r="E21" i="7" s="1"/>
  <c r="D12" i="8"/>
  <c r="D27" i="7"/>
  <c r="C21" i="3"/>
  <c r="F20" i="3"/>
  <c r="D17" i="3"/>
  <c r="G16" i="3"/>
  <c r="G17" i="3" s="1"/>
  <c r="C10" i="6"/>
  <c r="C11" i="6" s="1"/>
  <c r="J12" i="7"/>
  <c r="J25" i="7" s="1"/>
  <c r="J26" i="7" s="1"/>
  <c r="J10" i="7"/>
  <c r="J11" i="7"/>
  <c r="J20" i="7" s="1"/>
  <c r="J21" i="7" s="1"/>
  <c r="G27" i="7"/>
  <c r="G45" i="2"/>
  <c r="L27" i="7"/>
  <c r="G22" i="7"/>
  <c r="K12" i="5"/>
  <c r="B17" i="10"/>
  <c r="B5" i="10"/>
  <c r="F21" i="6"/>
  <c r="F12" i="5"/>
  <c r="H21" i="6"/>
  <c r="B19" i="10"/>
  <c r="B7" i="10"/>
  <c r="H12" i="5"/>
  <c r="E41" i="2"/>
  <c r="E53" i="2" s="1"/>
  <c r="E22" i="7"/>
  <c r="E27" i="7"/>
  <c r="E58" i="2"/>
  <c r="C28" i="10" s="1"/>
  <c r="C12" i="7"/>
  <c r="C25" i="7" s="1"/>
  <c r="C26" i="7" s="1"/>
  <c r="C10" i="7"/>
  <c r="C11" i="7"/>
  <c r="C20" i="7" s="1"/>
  <c r="C21" i="7" s="1"/>
  <c r="C17" i="3"/>
  <c r="C34" i="3" s="1"/>
  <c r="F16" i="3"/>
  <c r="H33" i="3"/>
  <c r="H18" i="3"/>
  <c r="H19" i="3" s="1"/>
  <c r="H10" i="6"/>
  <c r="H11" i="6" s="1"/>
  <c r="H15" i="3"/>
  <c r="I15" i="3"/>
  <c r="D5" i="10"/>
  <c r="F27" i="6"/>
  <c r="F24" i="3"/>
  <c r="C17" i="10"/>
  <c r="J19" i="3"/>
  <c r="J21" i="3" s="1"/>
  <c r="J34" i="3" s="1"/>
  <c r="K22" i="6"/>
  <c r="H10" i="7"/>
  <c r="H11" i="7"/>
  <c r="H20" i="7" s="1"/>
  <c r="H21" i="7" s="1"/>
  <c r="H12" i="7"/>
  <c r="H25" i="7" s="1"/>
  <c r="H26" i="7" s="1"/>
  <c r="K6" i="3"/>
  <c r="K7" i="3" s="1"/>
  <c r="C16" i="10"/>
  <c r="E27" i="6"/>
  <c r="E28" i="6" s="1"/>
  <c r="E24" i="3"/>
  <c r="D4" i="10"/>
  <c r="L45" i="2"/>
  <c r="L53" i="2" s="1"/>
  <c r="E45" i="2"/>
  <c r="I24" i="3"/>
  <c r="I25" i="3" s="1"/>
  <c r="C20" i="10"/>
  <c r="D8" i="10"/>
  <c r="I27" i="6"/>
  <c r="I28" i="6" s="1"/>
  <c r="C8" i="10"/>
  <c r="I23" i="6"/>
  <c r="E15" i="3"/>
  <c r="E18" i="3"/>
  <c r="E33" i="3"/>
  <c r="E10" i="6"/>
  <c r="E11" i="6" s="1"/>
  <c r="D57" i="2"/>
  <c r="D45" i="2"/>
  <c r="D53" i="2" s="1"/>
  <c r="D19" i="3"/>
  <c r="D10" i="6"/>
  <c r="D11" i="6" s="1"/>
  <c r="C51" i="2"/>
  <c r="G24" i="3"/>
  <c r="G25" i="3" s="1"/>
  <c r="C18" i="10"/>
  <c r="G27" i="6"/>
  <c r="G28" i="6" s="1"/>
  <c r="D6" i="10"/>
  <c r="B8" i="10"/>
  <c r="I12" i="5"/>
  <c r="B20" i="10"/>
  <c r="I21" i="6"/>
  <c r="D11" i="8"/>
  <c r="L11" i="6"/>
  <c r="I10" i="7"/>
  <c r="I11" i="7"/>
  <c r="I20" i="7" s="1"/>
  <c r="I21" i="7" s="1"/>
  <c r="I12" i="7"/>
  <c r="I25" i="7" s="1"/>
  <c r="I26" i="7" s="1"/>
  <c r="D8" i="8"/>
  <c r="D27" i="6"/>
  <c r="D28" i="6" s="1"/>
  <c r="D3" i="10"/>
  <c r="C15" i="10"/>
  <c r="D24" i="3"/>
  <c r="D25" i="3" s="1"/>
  <c r="B11" i="10"/>
  <c r="B23" i="10"/>
  <c r="L21" i="6"/>
  <c r="L12" i="5"/>
  <c r="L28" i="6"/>
  <c r="H58" i="2"/>
  <c r="C31" i="10" s="1"/>
  <c r="H41" i="2"/>
  <c r="F45" i="2"/>
  <c r="I19" i="3"/>
  <c r="E7" i="3"/>
  <c r="H6" i="3"/>
  <c r="H7" i="3" s="1"/>
  <c r="K11" i="7"/>
  <c r="K20" i="7" s="1"/>
  <c r="K21" i="7" s="1"/>
  <c r="K12" i="7"/>
  <c r="K25" i="7" s="1"/>
  <c r="K26" i="7" s="1"/>
  <c r="K10" i="7"/>
  <c r="C21" i="10"/>
  <c r="D9" i="10"/>
  <c r="J24" i="3"/>
  <c r="J27" i="6"/>
  <c r="J28" i="6" s="1"/>
  <c r="F15" i="3"/>
  <c r="E2" i="10"/>
  <c r="D14" i="10"/>
  <c r="C25" i="6"/>
  <c r="C26" i="6" s="1"/>
  <c r="C14" i="5"/>
  <c r="G60" i="2"/>
  <c r="E30" i="10" s="1"/>
  <c r="F60" i="2"/>
  <c r="E29" i="10" s="1"/>
  <c r="F26" i="3"/>
  <c r="C27" i="3"/>
  <c r="C66" i="2"/>
  <c r="K23" i="6"/>
  <c r="C10" i="10"/>
  <c r="J22" i="7"/>
  <c r="J58" i="2"/>
  <c r="C33" i="10" s="1"/>
  <c r="J41" i="2"/>
  <c r="J27" i="7" s="1"/>
  <c r="B6" i="10"/>
  <c r="B18" i="10"/>
  <c r="G21" i="6"/>
  <c r="G12" i="5"/>
  <c r="K58" i="2"/>
  <c r="C34" i="10" s="1"/>
  <c r="D9" i="8" l="1"/>
  <c r="L23" i="6"/>
  <c r="L24" i="6" s="1"/>
  <c r="L13" i="5"/>
  <c r="C11" i="10"/>
  <c r="C3" i="10"/>
  <c r="D23" i="6"/>
  <c r="D24" i="6" s="1"/>
  <c r="D64" i="2"/>
  <c r="E64" i="2" s="1"/>
  <c r="F64" i="2" s="1"/>
  <c r="G64" i="2" s="1"/>
  <c r="D13" i="5"/>
  <c r="D6" i="8"/>
  <c r="J14" i="6"/>
  <c r="J35" i="3"/>
  <c r="E13" i="5"/>
  <c r="E23" i="6"/>
  <c r="E24" i="6" s="1"/>
  <c r="C4" i="10"/>
  <c r="C5" i="5"/>
  <c r="C18" i="6"/>
  <c r="B61" i="6" s="1"/>
  <c r="L16" i="3"/>
  <c r="L17" i="3" s="1"/>
  <c r="L34" i="3" s="1"/>
  <c r="L22" i="6"/>
  <c r="H17" i="3"/>
  <c r="K16" i="3"/>
  <c r="K17" i="3" s="1"/>
  <c r="H25" i="3"/>
  <c r="H45" i="2"/>
  <c r="H53" i="2" s="1"/>
  <c r="D13" i="8"/>
  <c r="L20" i="3"/>
  <c r="L21" i="3" s="1"/>
  <c r="J26" i="3"/>
  <c r="J45" i="2"/>
  <c r="J53" i="2" s="1"/>
  <c r="B2" i="10"/>
  <c r="C12" i="5"/>
  <c r="B14" i="10"/>
  <c r="C68" i="2"/>
  <c r="C21" i="6"/>
  <c r="K20" i="3"/>
  <c r="K21" i="3" s="1"/>
  <c r="K34" i="3" s="1"/>
  <c r="K25" i="3"/>
  <c r="L25" i="3"/>
  <c r="D5" i="8"/>
  <c r="K28" i="6"/>
  <c r="E22" i="6"/>
  <c r="G20" i="3"/>
  <c r="G21" i="3" s="1"/>
  <c r="D21" i="3"/>
  <c r="D34" i="3" s="1"/>
  <c r="C6" i="10"/>
  <c r="G13" i="5"/>
  <c r="G23" i="6"/>
  <c r="L26" i="3"/>
  <c r="C36" i="3"/>
  <c r="C14" i="6"/>
  <c r="C12" i="6" s="1"/>
  <c r="C35" i="3"/>
  <c r="H22" i="6"/>
  <c r="I22" i="6"/>
  <c r="B27" i="10"/>
  <c r="D61" i="2"/>
  <c r="D63" i="2"/>
  <c r="D66" i="2" s="1"/>
  <c r="E57" i="2"/>
  <c r="C5" i="10"/>
  <c r="F13" i="5"/>
  <c r="F23" i="6"/>
  <c r="F24" i="6" s="1"/>
  <c r="G34" i="3"/>
  <c r="D12" i="5"/>
  <c r="D4" i="8"/>
  <c r="F4" i="8" s="1"/>
  <c r="C13" i="6"/>
  <c r="F17" i="3"/>
  <c r="I16" i="3"/>
  <c r="I17" i="3" s="1"/>
  <c r="H27" i="7"/>
  <c r="E19" i="3"/>
  <c r="F19" i="3"/>
  <c r="J22" i="6"/>
  <c r="F22" i="6"/>
  <c r="F2" i="10"/>
  <c r="C15" i="5"/>
  <c r="C35" i="6"/>
  <c r="C36" i="6" s="1"/>
  <c r="J25" i="3"/>
  <c r="J27" i="3" s="1"/>
  <c r="H22" i="7"/>
  <c r="H16" i="3"/>
  <c r="E17" i="3"/>
  <c r="F25" i="3"/>
  <c r="D22" i="6"/>
  <c r="D27" i="3"/>
  <c r="G26" i="3"/>
  <c r="G27" i="3" s="1"/>
  <c r="G22" i="6"/>
  <c r="E25" i="3"/>
  <c r="F28" i="6"/>
  <c r="C7" i="10" l="1"/>
  <c r="H13" i="5"/>
  <c r="H64" i="2"/>
  <c r="I64" i="2" s="1"/>
  <c r="H23" i="6"/>
  <c r="I13" i="5"/>
  <c r="M13" i="5" s="1"/>
  <c r="K35" i="3"/>
  <c r="K14" i="6"/>
  <c r="D14" i="6"/>
  <c r="D35" i="3"/>
  <c r="G18" i="6"/>
  <c r="G5" i="5"/>
  <c r="G6" i="5" s="1"/>
  <c r="D15" i="5"/>
  <c r="F3" i="10"/>
  <c r="D35" i="6"/>
  <c r="D36" i="6" s="1"/>
  <c r="D37" i="6" s="1"/>
  <c r="G24" i="6"/>
  <c r="L35" i="3"/>
  <c r="L14" i="6"/>
  <c r="F27" i="3"/>
  <c r="I26" i="3"/>
  <c r="I27" i="3" s="1"/>
  <c r="D25" i="6"/>
  <c r="D14" i="5"/>
  <c r="D15" i="10"/>
  <c r="E3" i="10"/>
  <c r="D68" i="2"/>
  <c r="H20" i="3"/>
  <c r="H21" i="3" s="1"/>
  <c r="H34" i="3" s="1"/>
  <c r="E21" i="3"/>
  <c r="E34" i="3" s="1"/>
  <c r="C30" i="6"/>
  <c r="C22" i="6"/>
  <c r="C6" i="5"/>
  <c r="J18" i="6"/>
  <c r="J5" i="5"/>
  <c r="J6" i="5" s="1"/>
  <c r="H26" i="3"/>
  <c r="E27" i="3"/>
  <c r="B56" i="6"/>
  <c r="B63" i="6" s="1"/>
  <c r="C37" i="6"/>
  <c r="M12" i="5"/>
  <c r="C17" i="5"/>
  <c r="C16" i="5"/>
  <c r="H27" i="3"/>
  <c r="K26" i="3"/>
  <c r="K27" i="3" s="1"/>
  <c r="C15" i="6"/>
  <c r="B59" i="6" s="1"/>
  <c r="C3" i="5"/>
  <c r="J13" i="5"/>
  <c r="J23" i="6"/>
  <c r="C9" i="10"/>
  <c r="J64" i="2"/>
  <c r="K64" i="2" s="1"/>
  <c r="L64" i="2" s="1"/>
  <c r="K13" i="5"/>
  <c r="I20" i="3"/>
  <c r="I21" i="3" s="1"/>
  <c r="I34" i="3" s="1"/>
  <c r="F21" i="3"/>
  <c r="F34" i="3" s="1"/>
  <c r="G14" i="6"/>
  <c r="G35" i="3"/>
  <c r="D12" i="6"/>
  <c r="E5" i="8"/>
  <c r="C20" i="5"/>
  <c r="D36" i="3"/>
  <c r="J3" i="5"/>
  <c r="J4" i="5" s="1"/>
  <c r="J15" i="6"/>
  <c r="D18" i="6"/>
  <c r="D5" i="5"/>
  <c r="D6" i="5" s="1"/>
  <c r="D16" i="5"/>
  <c r="D17" i="5"/>
  <c r="F5" i="8"/>
  <c r="B28" i="10"/>
  <c r="E61" i="2"/>
  <c r="E63" i="2"/>
  <c r="E66" i="2" s="1"/>
  <c r="F57" i="2"/>
  <c r="L27" i="3"/>
  <c r="F35" i="3" l="1"/>
  <c r="F14" i="6"/>
  <c r="H14" i="6"/>
  <c r="H35" i="3"/>
  <c r="I14" i="6"/>
  <c r="I35" i="3"/>
  <c r="E14" i="6"/>
  <c r="E12" i="6" s="1"/>
  <c r="E35" i="3"/>
  <c r="K18" i="6"/>
  <c r="K5" i="5"/>
  <c r="K6" i="5" s="1"/>
  <c r="L18" i="6"/>
  <c r="L5" i="5"/>
  <c r="L6" i="5" s="1"/>
  <c r="F18" i="6"/>
  <c r="F5" i="5"/>
  <c r="F6" i="5" s="1"/>
  <c r="B29" i="10"/>
  <c r="F63" i="2"/>
  <c r="F66" i="2" s="1"/>
  <c r="F61" i="2"/>
  <c r="G57" i="2"/>
  <c r="C4" i="5"/>
  <c r="E15" i="5"/>
  <c r="E35" i="6"/>
  <c r="E36" i="6" s="1"/>
  <c r="E37" i="6" s="1"/>
  <c r="F4" i="10"/>
  <c r="E6" i="8"/>
  <c r="F6" i="8" s="1"/>
  <c r="D13" i="6"/>
  <c r="L15" i="6"/>
  <c r="L3" i="5"/>
  <c r="L4" i="5" s="1"/>
  <c r="H18" i="6"/>
  <c r="H5" i="5"/>
  <c r="H6" i="5" s="1"/>
  <c r="D3" i="5"/>
  <c r="D4" i="5" s="1"/>
  <c r="D15" i="6"/>
  <c r="E14" i="5"/>
  <c r="D16" i="10"/>
  <c r="E25" i="6"/>
  <c r="E4" i="10"/>
  <c r="E68" i="2"/>
  <c r="G3" i="5"/>
  <c r="G4" i="5" s="1"/>
  <c r="G15" i="6"/>
  <c r="B53" i="6"/>
  <c r="G4" i="8"/>
  <c r="I4" i="8" s="1"/>
  <c r="J4" i="8" s="1"/>
  <c r="C32" i="6"/>
  <c r="K3" i="5"/>
  <c r="K4" i="5" s="1"/>
  <c r="K15" i="6"/>
  <c r="H24" i="6"/>
  <c r="I24" i="6"/>
  <c r="J9" i="5"/>
  <c r="D26" i="6"/>
  <c r="D30" i="6"/>
  <c r="E5" i="5"/>
  <c r="E6" i="5" s="1"/>
  <c r="M6" i="5" s="1"/>
  <c r="E18" i="6"/>
  <c r="D20" i="5"/>
  <c r="E36" i="3"/>
  <c r="J24" i="6"/>
  <c r="K24" i="6"/>
  <c r="I18" i="6"/>
  <c r="I5" i="5"/>
  <c r="I6" i="5" s="1"/>
  <c r="F12" i="6" l="1"/>
  <c r="E7" i="8"/>
  <c r="F7" i="8" s="1"/>
  <c r="E13" i="6"/>
  <c r="E16" i="5"/>
  <c r="E17" i="5"/>
  <c r="E15" i="6"/>
  <c r="E3" i="5"/>
  <c r="C9" i="5"/>
  <c r="G5" i="8"/>
  <c r="D32" i="6"/>
  <c r="C33" i="6"/>
  <c r="B54" i="6"/>
  <c r="B55" i="6" s="1"/>
  <c r="B62" i="6" s="1"/>
  <c r="C31" i="6"/>
  <c r="C39" i="6"/>
  <c r="C40" i="6" s="1"/>
  <c r="B30" i="10"/>
  <c r="G61" i="2"/>
  <c r="G63" i="2"/>
  <c r="G66" i="2" s="1"/>
  <c r="H57" i="2"/>
  <c r="I15" i="6"/>
  <c r="I3" i="5"/>
  <c r="I4" i="5" s="1"/>
  <c r="F5" i="10"/>
  <c r="F35" i="6"/>
  <c r="F36" i="6" s="1"/>
  <c r="F37" i="6" s="1"/>
  <c r="F15" i="5"/>
  <c r="H3" i="5"/>
  <c r="H4" i="5" s="1"/>
  <c r="H15" i="6"/>
  <c r="G9" i="5"/>
  <c r="D9" i="5"/>
  <c r="K9" i="5"/>
  <c r="D17" i="10"/>
  <c r="F25" i="6"/>
  <c r="E5" i="10"/>
  <c r="F14" i="5"/>
  <c r="F68" i="2"/>
  <c r="M5" i="5"/>
  <c r="L9" i="5"/>
  <c r="E26" i="6"/>
  <c r="E30" i="6"/>
  <c r="F36" i="3"/>
  <c r="E20" i="5"/>
  <c r="F3" i="5"/>
  <c r="F4" i="5" s="1"/>
  <c r="F15" i="6"/>
  <c r="C21" i="5" l="1"/>
  <c r="E4" i="5"/>
  <c r="M3" i="5"/>
  <c r="F26" i="6"/>
  <c r="F30" i="6"/>
  <c r="H63" i="2"/>
  <c r="H66" i="2" s="1"/>
  <c r="B31" i="10"/>
  <c r="H61" i="2"/>
  <c r="I57" i="2"/>
  <c r="I5" i="8"/>
  <c r="J5" i="8" s="1"/>
  <c r="G36" i="3"/>
  <c r="F20" i="5"/>
  <c r="F17" i="5"/>
  <c r="F16" i="5"/>
  <c r="D33" i="6"/>
  <c r="D39" i="6"/>
  <c r="D40" i="6" s="1"/>
  <c r="G6" i="8"/>
  <c r="E32" i="6"/>
  <c r="H9" i="5"/>
  <c r="F9" i="5"/>
  <c r="D21" i="5"/>
  <c r="D25" i="5" s="1"/>
  <c r="B51" i="10" s="1"/>
  <c r="F6" i="10"/>
  <c r="G35" i="6"/>
  <c r="G36" i="6" s="1"/>
  <c r="G37" i="6" s="1"/>
  <c r="G15" i="5"/>
  <c r="E6" i="10"/>
  <c r="G25" i="6"/>
  <c r="G14" i="5"/>
  <c r="D18" i="10"/>
  <c r="G68" i="2"/>
  <c r="D31" i="6"/>
  <c r="H5" i="8"/>
  <c r="G12" i="6"/>
  <c r="E8" i="8"/>
  <c r="F8" i="8" s="1"/>
  <c r="F13" i="6"/>
  <c r="I9" i="5"/>
  <c r="G17" i="5" l="1"/>
  <c r="G16" i="5"/>
  <c r="H36" i="3"/>
  <c r="G20" i="5"/>
  <c r="E33" i="6"/>
  <c r="E39" i="6"/>
  <c r="E40" i="6" s="1"/>
  <c r="H15" i="5"/>
  <c r="F7" i="10"/>
  <c r="H35" i="6"/>
  <c r="H36" i="6" s="1"/>
  <c r="H37" i="6" s="1"/>
  <c r="G26" i="6"/>
  <c r="G30" i="6"/>
  <c r="B32" i="10"/>
  <c r="I61" i="2"/>
  <c r="I63" i="2"/>
  <c r="I66" i="2" s="1"/>
  <c r="J57" i="2"/>
  <c r="E7" i="10"/>
  <c r="H25" i="6"/>
  <c r="D19" i="10"/>
  <c r="H14" i="5"/>
  <c r="H68" i="2"/>
  <c r="F32" i="6"/>
  <c r="G7" i="8"/>
  <c r="D24" i="5"/>
  <c r="E9" i="8"/>
  <c r="F9" i="8" s="1"/>
  <c r="H12" i="6"/>
  <c r="G13" i="6"/>
  <c r="F21" i="5"/>
  <c r="F25" i="5" s="1"/>
  <c r="B53" i="10" s="1"/>
  <c r="C25" i="5"/>
  <c r="C24" i="5"/>
  <c r="E9" i="5"/>
  <c r="M4" i="5"/>
  <c r="H6" i="8"/>
  <c r="I6" i="8" s="1"/>
  <c r="J6" i="8" s="1"/>
  <c r="E31" i="6"/>
  <c r="F33" i="6" l="1"/>
  <c r="F39" i="6"/>
  <c r="F40" i="6" s="1"/>
  <c r="I7" i="8"/>
  <c r="J7" i="8" s="1"/>
  <c r="H17" i="5"/>
  <c r="H16" i="5"/>
  <c r="E24" i="5"/>
  <c r="E21" i="5"/>
  <c r="M9" i="5"/>
  <c r="H26" i="6"/>
  <c r="H30" i="6"/>
  <c r="E8" i="10"/>
  <c r="I25" i="6"/>
  <c r="D20" i="10"/>
  <c r="I14" i="5"/>
  <c r="I68" i="2"/>
  <c r="F24" i="5"/>
  <c r="H20" i="5"/>
  <c r="I36" i="3"/>
  <c r="G8" i="8"/>
  <c r="B50" i="10"/>
  <c r="C26" i="5"/>
  <c r="F31" i="6"/>
  <c r="H7" i="8"/>
  <c r="B33" i="10"/>
  <c r="J63" i="2"/>
  <c r="J66" i="2" s="1"/>
  <c r="J61" i="2"/>
  <c r="K57" i="2"/>
  <c r="G21" i="5"/>
  <c r="G24" i="5" s="1"/>
  <c r="I12" i="6"/>
  <c r="E10" i="8"/>
  <c r="F10" i="8" s="1"/>
  <c r="H13" i="6"/>
  <c r="I35" i="6"/>
  <c r="I36" i="6" s="1"/>
  <c r="I37" i="6" s="1"/>
  <c r="F8" i="10"/>
  <c r="I15" i="5"/>
  <c r="C50" i="10" l="1"/>
  <c r="D26" i="5"/>
  <c r="G31" i="6"/>
  <c r="H32" i="6" s="1"/>
  <c r="H8" i="8"/>
  <c r="I8" i="8" s="1"/>
  <c r="J8" i="8" s="1"/>
  <c r="G25" i="5"/>
  <c r="B54" i="10" s="1"/>
  <c r="G9" i="8"/>
  <c r="E11" i="8"/>
  <c r="F11" i="8" s="1"/>
  <c r="J12" i="6"/>
  <c r="I13" i="6"/>
  <c r="G32" i="6"/>
  <c r="E25" i="5"/>
  <c r="J36" i="3"/>
  <c r="I20" i="5"/>
  <c r="H21" i="5"/>
  <c r="H25" i="5" s="1"/>
  <c r="B55" i="10" s="1"/>
  <c r="H24" i="5"/>
  <c r="K61" i="2"/>
  <c r="B34" i="10"/>
  <c r="K63" i="2"/>
  <c r="K66" i="2" s="1"/>
  <c r="L57" i="2"/>
  <c r="J25" i="6"/>
  <c r="D21" i="10"/>
  <c r="J14" i="5"/>
  <c r="E9" i="10"/>
  <c r="J68" i="2"/>
  <c r="J35" i="6"/>
  <c r="J36" i="6" s="1"/>
  <c r="J37" i="6" s="1"/>
  <c r="F9" i="10"/>
  <c r="J15" i="5"/>
  <c r="I16" i="5"/>
  <c r="I17" i="5"/>
  <c r="I26" i="6"/>
  <c r="I30" i="6"/>
  <c r="H39" i="6" l="1"/>
  <c r="H40" i="6" s="1"/>
  <c r="H33" i="6"/>
  <c r="G33" i="6"/>
  <c r="G39" i="6"/>
  <c r="G40" i="6" s="1"/>
  <c r="J17" i="5"/>
  <c r="J16" i="5"/>
  <c r="G10" i="8"/>
  <c r="B35" i="10"/>
  <c r="L61" i="2"/>
  <c r="L63" i="2"/>
  <c r="L66" i="2" s="1"/>
  <c r="K12" i="6"/>
  <c r="E12" i="8"/>
  <c r="F12" i="8" s="1"/>
  <c r="J13" i="6"/>
  <c r="E10" i="10"/>
  <c r="K25" i="6"/>
  <c r="D22" i="10"/>
  <c r="K14" i="5"/>
  <c r="K68" i="2"/>
  <c r="I25" i="5"/>
  <c r="B56" i="10" s="1"/>
  <c r="H31" i="6"/>
  <c r="H9" i="8"/>
  <c r="I9" i="8" s="1"/>
  <c r="J9" i="8" s="1"/>
  <c r="C51" i="10"/>
  <c r="E26" i="5"/>
  <c r="J26" i="6"/>
  <c r="J30" i="6"/>
  <c r="F10" i="10"/>
  <c r="K35" i="6"/>
  <c r="K36" i="6" s="1"/>
  <c r="K37" i="6" s="1"/>
  <c r="K15" i="5"/>
  <c r="J20" i="5"/>
  <c r="K36" i="3"/>
  <c r="I21" i="5"/>
  <c r="B52" i="10"/>
  <c r="F11" i="10" l="1"/>
  <c r="L35" i="6"/>
  <c r="L36" i="6" s="1"/>
  <c r="L37" i="6" s="1"/>
  <c r="L15" i="5"/>
  <c r="M15" i="5" s="1"/>
  <c r="C52" i="10"/>
  <c r="F26" i="5"/>
  <c r="D23" i="10"/>
  <c r="L25" i="6"/>
  <c r="L14" i="5"/>
  <c r="E11" i="10"/>
  <c r="L68" i="2"/>
  <c r="H10" i="8"/>
  <c r="I10" i="8" s="1"/>
  <c r="J10" i="8" s="1"/>
  <c r="I32" i="6"/>
  <c r="I24" i="5"/>
  <c r="K17" i="5"/>
  <c r="K16" i="5"/>
  <c r="J21" i="5"/>
  <c r="J25" i="5" s="1"/>
  <c r="J24" i="5"/>
  <c r="K20" i="5"/>
  <c r="L36" i="3"/>
  <c r="L20" i="5" s="1"/>
  <c r="M20" i="5" s="1"/>
  <c r="K26" i="6"/>
  <c r="K30" i="6"/>
  <c r="G11" i="8"/>
  <c r="L12" i="6"/>
  <c r="L13" i="6" s="1"/>
  <c r="E13" i="8"/>
  <c r="F13" i="8" s="1"/>
  <c r="K13" i="6"/>
  <c r="B57" i="10" l="1"/>
  <c r="I39" i="6"/>
  <c r="I40" i="6" s="1"/>
  <c r="I33" i="6"/>
  <c r="G12" i="8"/>
  <c r="I31" i="6"/>
  <c r="L17" i="5"/>
  <c r="L16" i="5"/>
  <c r="M14" i="5"/>
  <c r="L26" i="6"/>
  <c r="L30" i="6"/>
  <c r="C53" i="10"/>
  <c r="G26" i="5"/>
  <c r="K21" i="5"/>
  <c r="M16" i="5" l="1"/>
  <c r="H11" i="8"/>
  <c r="I11" i="8" s="1"/>
  <c r="J11" i="8" s="1"/>
  <c r="J32" i="6"/>
  <c r="J31" i="6" s="1"/>
  <c r="K24" i="5"/>
  <c r="K25" i="5"/>
  <c r="G13" i="8"/>
  <c r="L21" i="5"/>
  <c r="L25" i="5" s="1"/>
  <c r="B59" i="10" s="1"/>
  <c r="L24" i="5"/>
  <c r="M24" i="5" s="1"/>
  <c r="M17" i="5"/>
  <c r="C54" i="10"/>
  <c r="H26" i="5"/>
  <c r="H12" i="8" l="1"/>
  <c r="I12" i="8" s="1"/>
  <c r="J12" i="8" s="1"/>
  <c r="K32" i="6"/>
  <c r="B58" i="10"/>
  <c r="M25" i="5"/>
  <c r="M21" i="5"/>
  <c r="J33" i="6"/>
  <c r="J39" i="6"/>
  <c r="J40" i="6" s="1"/>
  <c r="C55" i="10"/>
  <c r="I26" i="5"/>
  <c r="C56" i="10" l="1"/>
  <c r="J26" i="5"/>
  <c r="K39" i="6"/>
  <c r="K40" i="6" s="1"/>
  <c r="K33" i="6"/>
  <c r="K31" i="6"/>
  <c r="C57" i="10" l="1"/>
  <c r="K26" i="5"/>
  <c r="H13" i="8"/>
  <c r="I13" i="8" s="1"/>
  <c r="J13" i="8" s="1"/>
  <c r="L32" i="6"/>
  <c r="L39" i="6" l="1"/>
  <c r="L40" i="6" s="1"/>
  <c r="L33" i="6"/>
  <c r="L31" i="6"/>
  <c r="C58" i="10"/>
  <c r="L26" i="5"/>
  <c r="C59" i="10" s="1"/>
</calcChain>
</file>

<file path=xl/sharedStrings.xml><?xml version="1.0" encoding="utf-8"?>
<sst xmlns="http://schemas.openxmlformats.org/spreadsheetml/2006/main" count="716" uniqueCount="398">
  <si>
    <t>Rubin USDF Sizing Model — Reference Data</t>
  </si>
  <si>
    <t>Parameter</t>
  </si>
  <si>
    <t>Value</t>
  </si>
  <si>
    <t>Source / Notes</t>
  </si>
  <si>
    <t>DRP Estimates</t>
  </si>
  <si>
    <t>DR1 node-days (reference only)</t>
  </si>
  <si>
    <t>Not used in formulas; see core_hours_per_input_tb</t>
  </si>
  <si>
    <t>DRP CPU doc reference</t>
  </si>
  <si>
    <t>DRP Resource Usage Estimates — CPU from DM-53697 (v30_0_0_rc2), DM-52836 (w_2025_41)</t>
  </si>
  <si>
    <t>DRP Resource Usage Estimates</t>
  </si>
  <si>
    <t>Safety margin</t>
  </si>
  <si>
    <t>Cores per node</t>
  </si>
  <si>
    <t>Processing window (days)</t>
  </si>
  <si>
    <t>DR1 total storage (PB)</t>
  </si>
  <si>
    <t>Compressed</t>
  </si>
  <si>
    <t>DR1 release products (PB)</t>
  </si>
  <si>
    <t>Wall-to-CPU ratio</t>
  </si>
  <si>
    <t>DR2 multiplier</t>
  </si>
  <si>
    <t>Prompt Products (RFC-1134)</t>
  </si>
  <si>
    <t>Tier 1 TB/night</t>
  </si>
  <si>
    <t>Long-term retention until DR1</t>
  </si>
  <si>
    <t>Tier 2 TB/night</t>
  </si>
  <si>
    <t>30-day rolling</t>
  </si>
  <si>
    <t>DR1 target year</t>
  </si>
  <si>
    <t>Qserv (from Igor)</t>
  </si>
  <si>
    <t>Current nodes</t>
  </si>
  <si>
    <t>Storage TB per node</t>
  </si>
  <si>
    <t>Replication factor</t>
  </si>
  <si>
    <t>Current Fleet (2026 — Rubin USDF)</t>
  </si>
  <si>
    <t>Milano batch nodes</t>
  </si>
  <si>
    <t>FY24 CPU Planner, Rubin USDF</t>
  </si>
  <si>
    <t>Torino batch nodes</t>
  </si>
  <si>
    <t>Confirmed available to Rubin</t>
  </si>
  <si>
    <t>K8s nodes</t>
  </si>
  <si>
    <t>Initial k8s Capture, Rubin USDF</t>
  </si>
  <si>
    <t>Interactive nodes</t>
  </si>
  <si>
    <t>Initial InteractiveWorkflow Cap</t>
  </si>
  <si>
    <t>GPU H200 nodes</t>
  </si>
  <si>
    <t>Initial GPU Capture, Rubin USDF</t>
  </si>
  <si>
    <t>Qserv nodes</t>
  </si>
  <si>
    <t>From conversation with Igor</t>
  </si>
  <si>
    <t>Cassandra nodes</t>
  </si>
  <si>
    <t>Rubin Hardware Summary Mar 2025 JTM (Yemi)</t>
  </si>
  <si>
    <t>NVMe servers</t>
  </si>
  <si>
    <t>Weka / flash tier (JTM)</t>
  </si>
  <si>
    <t>JBOD enclosures (total / deployed)</t>
  </si>
  <si>
    <t>62 / 37</t>
  </si>
  <si>
    <t>JTM</t>
  </si>
  <si>
    <t>Installed storage (PB)</t>
  </si>
  <si>
    <t>Initial Storage Capture, Rubin USDF</t>
  </si>
  <si>
    <t>Total batch cores</t>
  </si>
  <si>
    <t>Milano + Torino</t>
  </si>
  <si>
    <t>Node Costs</t>
  </si>
  <si>
    <t>Milano node (USD)</t>
  </si>
  <si>
    <t>Torino node (USD)</t>
  </si>
  <si>
    <t>Estimated</t>
  </si>
  <si>
    <t>K8s node (USD)</t>
  </si>
  <si>
    <t>Qserv node (USD)</t>
  </si>
  <si>
    <t>GPU H200 node (USD)</t>
  </si>
  <si>
    <t>Storage Costs ($/TB)</t>
  </si>
  <si>
    <t>Flash (NVMe/Weka)</t>
  </si>
  <si>
    <t>Normal (SATA HDD/Ceph)</t>
  </si>
  <si>
    <t>Latent (Object Store)</t>
  </si>
  <si>
    <t>Tape (LTO)</t>
  </si>
  <si>
    <t>Lifecycle</t>
  </si>
  <si>
    <t>Compute lifetime (years)</t>
  </si>
  <si>
    <t>Storage lifetime (years)</t>
  </si>
  <si>
    <t>Price Decrease Factors (annual)</t>
  </si>
  <si>
    <t>CPU</t>
  </si>
  <si>
    <t>Storage</t>
  </si>
  <si>
    <t>Qserv</t>
  </si>
  <si>
    <t>Ops Storage — USDF Parameters</t>
  </si>
  <si>
    <t>Unit</t>
  </si>
  <si>
    <t>LOY1</t>
  </si>
  <si>
    <t>LOY2</t>
  </si>
  <si>
    <t>LOY3</t>
  </si>
  <si>
    <t>LOY4</t>
  </si>
  <si>
    <t>LOY5</t>
  </si>
  <si>
    <t>LOY6</t>
  </si>
  <si>
    <t>LOY7</t>
  </si>
  <si>
    <t>LOY8</t>
  </si>
  <si>
    <t>LOY9</t>
  </si>
  <si>
    <t>LOY10</t>
  </si>
  <si>
    <t>Objects</t>
  </si>
  <si>
    <t>count</t>
  </si>
  <si>
    <t>Sources</t>
  </si>
  <si>
    <t>ForcedSources</t>
  </si>
  <si>
    <t>Science users</t>
  </si>
  <si>
    <t>users</t>
  </si>
  <si>
    <t>Storage per science user</t>
  </si>
  <si>
    <t>TB</t>
  </si>
  <si>
    <t>LSSTCam image size</t>
  </si>
  <si>
    <t>Raw image compression (science)</t>
  </si>
  <si>
    <t>factor</t>
  </si>
  <si>
    <t>Lossy image compression</t>
  </si>
  <si>
    <t>Calibration image compression</t>
  </si>
  <si>
    <t>Observing nights per year</t>
  </si>
  <si>
    <t>nights</t>
  </si>
  <si>
    <t>Visits per night</t>
  </si>
  <si>
    <t>visits</t>
  </si>
  <si>
    <t>Images per visit</t>
  </si>
  <si>
    <t>images</t>
  </si>
  <si>
    <t>Calibration images per day</t>
  </si>
  <si>
    <t>LSSTCam Science images (per year)</t>
  </si>
  <si>
    <t>LSSTCam Engineering images (1% of science)</t>
  </si>
  <si>
    <t>LSSTCam Calibration images (per year)</t>
  </si>
  <si>
    <t>Number of coadd data products</t>
  </si>
  <si>
    <t>Object table row size</t>
  </si>
  <si>
    <t>bytes</t>
  </si>
  <si>
    <t>Object_Extra table row size</t>
  </si>
  <si>
    <t>Source table row size</t>
  </si>
  <si>
    <t>ForcedSource table row size</t>
  </si>
  <si>
    <t>Qserv replication factor</t>
  </si>
  <si>
    <t>Dataset Sizing (annual production)</t>
  </si>
  <si>
    <t>Dataset</t>
  </si>
  <si>
    <t>APDB</t>
  </si>
  <si>
    <t>Prompt Tier 1 (cumulative)</t>
  </si>
  <si>
    <t>Prompt Tier 2 (30-day rolling)</t>
  </si>
  <si>
    <t>LSSTCam Raw Images (per year)</t>
  </si>
  <si>
    <t>LSSTCam Output Coadd Images (per DR)</t>
  </si>
  <si>
    <t>LSSTCam Output Images (per year)</t>
  </si>
  <si>
    <t>LSSTCam Output Parquet (per year)</t>
  </si>
  <si>
    <t>Sims output</t>
  </si>
  <si>
    <t>Scratch (10% of output images)</t>
  </si>
  <si>
    <t>Qserv Czar/Object</t>
  </si>
  <si>
    <t>Qserv Database</t>
  </si>
  <si>
    <t>Science User Home</t>
  </si>
  <si>
    <t>Other/Misc (20%)</t>
  </si>
  <si>
    <t>USDF Storage On-Floor (by tier)</t>
  </si>
  <si>
    <t>Storage Tier</t>
  </si>
  <si>
    <t>APDB (fast)</t>
  </si>
  <si>
    <t>Qserv Czar (fast, 3yr window)</t>
  </si>
  <si>
    <t>Total Fast (NVMe)</t>
  </si>
  <si>
    <t>Total Normal (HDD)</t>
  </si>
  <si>
    <t>Qserv Storage (3yr window)</t>
  </si>
  <si>
    <t>Raw Images (object store, cumulative)</t>
  </si>
  <si>
    <t>Output Images lossy (obj store, 2yr)</t>
  </si>
  <si>
    <t>Coadd Images (obj store, 3yr)</t>
  </si>
  <si>
    <t>Output Parquet (obj store, 3yr)</t>
  </si>
  <si>
    <t>Total Object Store</t>
  </si>
  <si>
    <t>Raw Images (tape, cumulative)</t>
  </si>
  <si>
    <t>Data Products Backup (tape)</t>
  </si>
  <si>
    <t>Object Store Products (tape)</t>
  </si>
  <si>
    <t>Total Tape</t>
  </si>
  <si>
    <t>Grand Total USDF Storage</t>
  </si>
  <si>
    <t>Ops Compute — USDF</t>
  </si>
  <si>
    <t>Category</t>
  </si>
  <si>
    <t>DRP core-hours needed</t>
  </si>
  <si>
    <t>core-hours</t>
  </si>
  <si>
    <t>DRP cores needed (batch)</t>
  </si>
  <si>
    <t>cores</t>
  </si>
  <si>
    <t>DRP cores annual increase</t>
  </si>
  <si>
    <t>DRP cores refresh (3yr cycle)</t>
  </si>
  <si>
    <t>DRP cores to purchase</t>
  </si>
  <si>
    <t>AP cores needed (K8s / prompt, not batch)</t>
  </si>
  <si>
    <t>AP cores initial purchase (LOY1 only)</t>
  </si>
  <si>
    <t>AP cores refresh (3yr full replace)</t>
  </si>
  <si>
    <t>AP cores to purchase (K8s budget)</t>
  </si>
  <si>
    <t>DAC/LSP cores (10% of DRP)</t>
  </si>
  <si>
    <t>DAC cores annual increase</t>
  </si>
  <si>
    <t>DAC cores refresh (3yr)</t>
  </si>
  <si>
    <t>DAC cores to purchase</t>
  </si>
  <si>
    <t>Staff LSP cores (10% of DAC)</t>
  </si>
  <si>
    <t>Staff cores annual increase</t>
  </si>
  <si>
    <t>Staff cores refresh (3yr)</t>
  </si>
  <si>
    <t>Staff cores to purchase</t>
  </si>
  <si>
    <t>Qserv data per node (capacity this LOY)</t>
  </si>
  <si>
    <t>TB/node</t>
  </si>
  <si>
    <t>Qserv nodes needed (total on floor)</t>
  </si>
  <si>
    <t>nodes</t>
  </si>
  <si>
    <t>Qserv nodes annual increase</t>
  </si>
  <si>
    <t>Qserv nodes refresh (3yr)</t>
  </si>
  <si>
    <t>Qserv nodes to purchase</t>
  </si>
  <si>
    <t>K8s infrastructure nodes (workers)</t>
  </si>
  <si>
    <t>LSP cores per science user</t>
  </si>
  <si>
    <t>cores/user</t>
  </si>
  <si>
    <t>BATCH cores to purchase (DRP+DAC+Staff)</t>
  </si>
  <si>
    <t>Batch nodes to purchase (Torino-class)</t>
  </si>
  <si>
    <t>Cumulative batch cores owned</t>
  </si>
  <si>
    <t>AP cores (for formulas)</t>
  </si>
  <si>
    <t>Machine Catalog</t>
  </si>
  <si>
    <t>Type</t>
  </si>
  <si>
    <t>Cores</t>
  </si>
  <si>
    <t>RAM (GB)</t>
  </si>
  <si>
    <t>Eff Cores/Node</t>
  </si>
  <si>
    <t>Cost (USD)</t>
  </si>
  <si>
    <t>Purpose</t>
  </si>
  <si>
    <t>Milano (batch)</t>
  </si>
  <si>
    <t>Current Slurm batch</t>
  </si>
  <si>
    <t>Torino (batch)</t>
  </si>
  <si>
    <t>Future Slurm batch</t>
  </si>
  <si>
    <t>K8s node</t>
  </si>
  <si>
    <t>Kubernetes infra</t>
  </si>
  <si>
    <t>Qserv node</t>
  </si>
  <si>
    <t>Qserv/Cassandra bare-metal</t>
  </si>
  <si>
    <t>GPU H200</t>
  </si>
  <si>
    <t>GPU compute</t>
  </si>
  <si>
    <t>Storage Catalog</t>
  </si>
  <si>
    <t>Tier</t>
  </si>
  <si>
    <t>$/TB (2026)</t>
  </si>
  <si>
    <t>Flash (NVMe / Weka)</t>
  </si>
  <si>
    <t>Normal (SATA HDD / Ceph)</t>
  </si>
  <si>
    <t>Price &amp; Lifecycle Parameters</t>
  </si>
  <si>
    <t>Factor (1-rate)</t>
  </si>
  <si>
    <t>CPU annual price decrease</t>
  </si>
  <si>
    <t>Storage annual price decrease</t>
  </si>
  <si>
    <t>Qserv annual price decrease</t>
  </si>
  <si>
    <t>Scale year (baseline)</t>
  </si>
  <si>
    <t>Hosting &amp; Overhead</t>
  </si>
  <si>
    <t>Nodes per rack</t>
  </si>
  <si>
    <t>Rack install cost (USD)</t>
  </si>
  <si>
    <t>Hosting per node per year (USD)</t>
  </si>
  <si>
    <t>Overhead % of hardware</t>
  </si>
  <si>
    <t>Overhead fixed ($M/year)</t>
  </si>
  <si>
    <t>Ops Costs — USDF Annual Hardware Spend</t>
  </si>
  <si>
    <t>LOY1 (FY2026)</t>
  </si>
  <si>
    <t>LOY2 (FY2027)</t>
  </si>
  <si>
    <t>LOY3 (FY2028)</t>
  </si>
  <si>
    <t>LOY4 (FY2029)</t>
  </si>
  <si>
    <t>LOY5 (FY2030)</t>
  </si>
  <si>
    <t>LOY6 (FY2031)</t>
  </si>
  <si>
    <t>LOY7 (FY2032)</t>
  </si>
  <si>
    <t>LOY8 (FY2033)</t>
  </si>
  <si>
    <t>LOY9 (FY2034)</t>
  </si>
  <si>
    <t>LOY10 (FY2035)</t>
  </si>
  <si>
    <t>Total</t>
  </si>
  <si>
    <t>Batch compute (nodes * Torino price)</t>
  </si>
  <si>
    <t>$M</t>
  </si>
  <si>
    <t>Batch compute (price-adjusted)</t>
  </si>
  <si>
    <t>Qserv node purchases</t>
  </si>
  <si>
    <t>Qserv (price-adjusted)</t>
  </si>
  <si>
    <t>GPU H200 purchases</t>
  </si>
  <si>
    <t>K8s infrastructure</t>
  </si>
  <si>
    <t>Total Compute Cost</t>
  </si>
  <si>
    <t>Storage Costs</t>
  </si>
  <si>
    <t>Flash storage (NVMe)</t>
  </si>
  <si>
    <t>Normal storage (HDD)</t>
  </si>
  <si>
    <t>Object Store (latent)</t>
  </si>
  <si>
    <t>Tape storage</t>
  </si>
  <si>
    <t>Total Storage (price-adjusted)</t>
  </si>
  <si>
    <t>Total Storage (base pricing)</t>
  </si>
  <si>
    <t>USDF hosting (nodes * $/node/yr)</t>
  </si>
  <si>
    <t>Overhead (14% HW + $0.15M fixed)</t>
  </si>
  <si>
    <t>GRAND TOTALS</t>
  </si>
  <si>
    <t>Annual Total (base pricing)</t>
  </si>
  <si>
    <t>Annual Total (price-adjusted)</t>
  </si>
  <si>
    <t>Cumulative (price-adjusted)</t>
  </si>
  <si>
    <t>Annual Purchase Plan — USDF</t>
  </si>
  <si>
    <t>Metric</t>
  </si>
  <si>
    <t>Fiscal Year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</si>
  <si>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</si>
  <si>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</si>
  <si>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</si>
  <si>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</si>
  <si>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</si>
  <si>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</si>
  <si>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</si>
  <si>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</si>
  <si>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</si>
  <si>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</si>
  <si>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Milestone</t>
  </si>
  <si>
    <t>DP2</t>
  </si>
  <si>
    <t>DR1</t>
  </si>
  <si>
    <t>DR2</t>
  </si>
  <si>
    <t>DR3</t>
  </si>
  <si>
    <t>DR4</t>
  </si>
  <si>
    <t>DR5</t>
  </si>
  <si>
    <t>DR6</t>
  </si>
  <si>
    <t>DR7</t>
  </si>
  <si>
    <t>DR8</t>
  </si>
  <si>
    <t>DR9</t>
  </si>
  <si>
    <t>COMPUTE PURCHASES</t>
  </si>
  <si>
    <t>DRP cores needed</t>
  </si>
  <si>
    <t>USDF DRP cores (100%)</t>
  </si>
  <si>
    <t>AP cores</t>
  </si>
  <si>
    <t>DAC/LSP + Staff cores</t>
  </si>
  <si>
    <t>Total batch cores needed (DRP+DAC+Staff)</t>
  </si>
  <si>
    <t>Cumulative cores available</t>
  </si>
  <si>
    <t>Compute gap (need − available)</t>
  </si>
  <si>
    <t>Batch cores to purchase (= Ops Compute)</t>
  </si>
  <si>
    <t>Batch nodes to purchase (= Ops Compute)</t>
  </si>
  <si>
    <t>K8s nodes needed</t>
  </si>
  <si>
    <t>K8s incremental purchase</t>
  </si>
  <si>
    <t>Qserv nodes to purchase (annual, = Ops Compute)</t>
  </si>
  <si>
    <t>STORAGE PURCHASES (by tier)</t>
  </si>
  <si>
    <t>Flash (NVMe) on floor</t>
  </si>
  <si>
    <t>Flash (NVMe) incremental purchase</t>
  </si>
  <si>
    <t>Normal HDD on floor</t>
  </si>
  <si>
    <t>Normal HDD incremental purchase</t>
  </si>
  <si>
    <t>Object Store on floor</t>
  </si>
  <si>
    <t>Object Store incremental purchase</t>
  </si>
  <si>
    <t>Qserv on floor</t>
  </si>
  <si>
    <t>Qserv incremental purchase</t>
  </si>
  <si>
    <t>ONLINE total on floor (hot+warm)</t>
  </si>
  <si>
    <t>Online available (installed + purchases)</t>
  </si>
  <si>
    <t>Online purchase (hot+warm)</t>
  </si>
  <si>
    <t>Online purchase (PB)</t>
  </si>
  <si>
    <t>PB</t>
  </si>
  <si>
    <t>Tape on floor</t>
  </si>
  <si>
    <t>Tape incremental purchase</t>
  </si>
  <si>
    <t>Tape purchase (PB)</t>
  </si>
  <si>
    <t>TOTAL storage purchase (TB)</t>
  </si>
  <si>
    <t>TOTAL storage purchase (PB)</t>
  </si>
  <si>
    <t>LOY1 (FY2026) — CURRENT YEAR DETAIL</t>
  </si>
  <si>
    <t>Months elapsed in FY</t>
  </si>
  <si>
    <t>Months remaining</t>
  </si>
  <si>
    <t>Currently running</t>
  </si>
  <si>
    <t>DP2 (10% of DR1)</t>
  </si>
  <si>
    <t>DP2 compute (core-hours)</t>
  </si>
  <si>
    <t>DP2 cores needed</t>
  </si>
  <si>
    <t>Existing batch cores</t>
  </si>
  <si>
    <t>Compute status for LOY1</t>
  </si>
  <si>
    <t>Storage installed (online, PB)</t>
  </si>
  <si>
    <t>LOY1 online storage needed (TB)</t>
  </si>
  <si>
    <t>LOY1 online purchase needed (TB)</t>
  </si>
  <si>
    <t>LOY1 online purchase needed (PB)</t>
  </si>
  <si>
    <t>LOY1 tape purchase needed (TB)</t>
  </si>
  <si>
    <t>Purchase summary for FY2026 cycle:</t>
  </si>
  <si>
    <t xml:space="preserve">  Batch compute nodes</t>
  </si>
  <si>
    <t xml:space="preserve">  K8s nodes</t>
  </si>
  <si>
    <t xml:space="preserve">  Qserv nodes</t>
  </si>
  <si>
    <t xml:space="preserve">  Online storage (PB)</t>
  </si>
  <si>
    <t xml:space="preserve">  Tape storage (PB)</t>
  </si>
  <si>
    <t>International DRP Compute Sharing</t>
  </si>
  <si>
    <t>DRP COMPUTE SPLIT</t>
  </si>
  <si>
    <t>Total DRP core-hours</t>
  </si>
  <si>
    <t>core-hrs</t>
  </si>
  <si>
    <t>Total DRP cores</t>
  </si>
  <si>
    <t>DRP Cores by Facility</t>
  </si>
  <si>
    <t>USDF (35%)</t>
  </si>
  <si>
    <t>France / CC-IN2P3 (40%)</t>
  </si>
  <si>
    <t>UK / UKDF (25%)</t>
  </si>
  <si>
    <t>DRP Core-Hours by Facility</t>
  </si>
  <si>
    <t>FRANCE (CC-IN2P3) DETAIL</t>
  </si>
  <si>
    <t>DRP cores</t>
  </si>
  <si>
    <t>Batch nodes (est.)</t>
  </si>
  <si>
    <t>DRP scratch storage (est.)</t>
  </si>
  <si>
    <t>UK (UKDF) DETAIL</t>
  </si>
  <si>
    <t>Note: France and UK handle DRP compute only. Long-term data products and storage reside at USDF.</t>
  </si>
  <si>
    <t>Yearly Readiness — LOY1 to LOY10</t>
  </si>
  <si>
    <t>LOY</t>
  </si>
  <si>
    <t>Year</t>
  </si>
  <si>
    <t>Total Cores
Needed</t>
  </si>
  <si>
    <t>Cores Available
(before purchase)</t>
  </si>
  <si>
    <t>Compute
Gap</t>
  </si>
  <si>
    <t>Online Storage
Needed (PB)</t>
  </si>
  <si>
    <t>Storage Available
(before purchase, PB)</t>
  </si>
  <si>
    <t>Storage
Gap (PB)</t>
  </si>
  <si>
    <t>Status</t>
  </si>
  <si>
    <t>Notes:</t>
  </si>
  <si>
    <t>'Available' = what is on hand BEFORE this year's purchase cycle. 'Gap' = additional capacity to procure. 100% USDF compute assumed.</t>
  </si>
  <si>
    <t>See 'International Compute' tab for France (40%) + UK (25%) DRP offload scenario.</t>
  </si>
  <si>
    <t>Hardware Refresh / EOL (annual units to replace)</t>
  </si>
  <si>
    <t>Each cohort: replace `Qty` in FY when FY &gt; delivery_year and MOD(FY − delivery_year, lifetime_years) = 0. Lifetimes: compute-class 3 yr, JBOD/NVMe 5 yr (from YAML). Source: Rubin Hardware Summary for March 2025 JTM + sizing_params.yaml.</t>
  </si>
  <si>
    <t>Fiscal Year (FY)</t>
  </si>
  <si>
    <t>Label</t>
  </si>
  <si>
    <t>Qty</t>
  </si>
  <si>
    <t>Delivery FY</t>
  </si>
  <si>
    <t>Lifetime (yr)</t>
  </si>
  <si>
    <t>First EOL FY</t>
  </si>
  <si>
    <t>k8s PO215594</t>
  </si>
  <si>
    <t>k8s</t>
  </si>
  <si>
    <t>JBOD PO216503 del 2022-04-13</t>
  </si>
  <si>
    <t>jbod</t>
  </si>
  <si>
    <t>JBOD PO220246</t>
  </si>
  <si>
    <t>JBOD PO222151 / dup PO216503</t>
  </si>
  <si>
    <t>NVMe PO220192</t>
  </si>
  <si>
    <t>nvme_server</t>
  </si>
  <si>
    <t>Milan PO222151</t>
  </si>
  <si>
    <t>milan_batch</t>
  </si>
  <si>
    <t>Qserv PO222151</t>
  </si>
  <si>
    <t>qserv</t>
  </si>
  <si>
    <t>k8s PO222151</t>
  </si>
  <si>
    <t>Milan PO227883</t>
  </si>
  <si>
    <t>Qserv PO227883</t>
  </si>
  <si>
    <t>Cassandra PO227883</t>
  </si>
  <si>
    <t>cassandra</t>
  </si>
  <si>
    <t>JBOD PO227883</t>
  </si>
  <si>
    <t>Milan PO237013</t>
  </si>
  <si>
    <t>Qserv PO237013</t>
  </si>
  <si>
    <t>k8s PO237013</t>
  </si>
  <si>
    <t>JBOD PO237013</t>
  </si>
  <si>
    <t>TOTAL units to replace (all cohorts)</t>
  </si>
  <si>
    <t>Note: Milan batch / Qserv / k8s / Cassandra use compute lifetime; JBOD / NVMe use storage lifetime. Edit cohorts in sizing_params.yaml.</t>
  </si>
  <si>
    <t>Fast (PB)</t>
  </si>
  <si>
    <t>Normal (PB)</t>
  </si>
  <si>
    <t>Qserv (PB)</t>
  </si>
  <si>
    <t>Object Store (PB)</t>
  </si>
  <si>
    <t>Tape (PB)</t>
  </si>
  <si>
    <t>Flash (PB)</t>
  </si>
  <si>
    <t>Raw Images (PB)</t>
  </si>
  <si>
    <t>Processed Images (PB)</t>
  </si>
  <si>
    <t>Co-added Images (PB)</t>
  </si>
  <si>
    <t>Parquet Tables (PB)</t>
  </si>
  <si>
    <t>Catalog Database (PB)</t>
  </si>
  <si>
    <t>DRP Core-Hours</t>
  </si>
  <si>
    <t>Annual Cost ($M)</t>
  </si>
  <si>
    <t>Cumulative Cost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</si>
</sst>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#,##0.0"/>
    <numFmt numFmtId="166" formatCode="\$#,##0.000"/>
    <numFmt numFmtId="167" formatCode="#,##0.\1"/>
  </numFmts>
  <fonts count="1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b/>
      <sz val="13"/>
      <name val="Calibri"/>
      <family val="2"/>
    </font>
    <font>
      <i/>
      <sz val="11"/>
      <color rgb="FF999999"/>
      <name val="Calibri"/>
      <family val="2"/>
    </font>
    <font>
      <b/>
      <sz val="13"/>
      <color rgb="FFC00000"/>
      <name val="Calibri"/>
      <family val="2"/>
    </font>
    <font>
      <b/>
      <sz val="11"/>
      <color rgb="FFC00000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i/>
      <sz val="11"/>
      <color rgb="FF666666"/>
      <name val="Calibri"/>
      <family val="2"/>
    </font>
    <font>
      <i/>
      <sz val="11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wrapText="1"/>
    </xf>
    <xf numFmtId="0" fontId="4" fillId="0" borderId="0" xfId="0" applyFont="1"/>
    <xf numFmtId="0" fontId="5" fillId="0" borderId="0" xfId="0" applyFont="1"/>
    <xf numFmtId="3" fontId="0" fillId="0" borderId="0" xfId="0" applyNumberFormat="1"/>
    <xf numFmtId="165" fontId="0" fillId="0" borderId="0" xfId="0" applyNumberFormat="1"/>
    <xf numFmtId="0" fontId="6" fillId="0" borderId="0" xfId="0" applyFont="1"/>
    <xf numFmtId="164" fontId="0" fillId="0" borderId="0" xfId="0" applyNumberFormat="1"/>
    <xf numFmtId="166" fontId="0" fillId="0" borderId="0" xfId="0" applyNumberForma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167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USDF Storage Forecast by Tier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Fast (PB)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Charts!$A$2:$A$11</c:f>
              <c:strCache>
                <c:ptCount val="10"/>
                <c:pt idx="0">
                  <c:v>LOY1 (FY2026)</c:v>
                </c:pt>
                <c:pt idx="1">
                  <c:v>LOY2 (FY2027)</c:v>
                </c:pt>
                <c:pt idx="2">
                  <c:v>LOY3 (FY2028)</c:v>
                </c:pt>
                <c:pt idx="3">
                  <c:v>LOY4 (FY2029)</c:v>
                </c:pt>
                <c:pt idx="4">
                  <c:v>LOY5 (FY2030)</c:v>
                </c:pt>
                <c:pt idx="5">
                  <c:v>LOY6 (FY2031)</c:v>
                </c:pt>
                <c:pt idx="6">
                  <c:v>LOY7 (FY2032)</c:v>
                </c:pt>
                <c:pt idx="7">
                  <c:v>LOY8 (FY2033)</c:v>
                </c:pt>
                <c:pt idx="8">
                  <c:v>LOY9 (FY2034)</c:v>
                </c:pt>
                <c:pt idx="9">
                  <c:v>LOY10 (FY2035)</c:v>
                </c:pt>
              </c:strCache>
            </c:strRef>
          </c:cat>
          <c:val>
            <c:numRef>
              <c:f>Charts!$B$2:$B$11</c:f>
              <c:numCache>
                <c:formatCode>#,##0.0</c:formatCode>
                <c:ptCount val="10"/>
                <c:pt idx="0">
                  <c:v>0.35299894736842102</c:v>
                </c:pt>
                <c:pt idx="1">
                  <c:v>0.54341644736842099</c:v>
                </c:pt>
                <c:pt idx="2">
                  <c:v>0.75890164736842103</c:v>
                </c:pt>
                <c:pt idx="3">
                  <c:v>0.84004744736842096</c:v>
                </c:pt>
                <c:pt idx="4">
                  <c:v>0.90787234736842104</c:v>
                </c:pt>
                <c:pt idx="5">
                  <c:v>0.97103374736842096</c:v>
                </c:pt>
                <c:pt idx="6">
                  <c:v>1.0314831473684209</c:v>
                </c:pt>
                <c:pt idx="7">
                  <c:v>1.0908390473684211</c:v>
                </c:pt>
                <c:pt idx="8">
                  <c:v>1.147386047368421</c:v>
                </c:pt>
                <c:pt idx="9">
                  <c:v>1.202169047368421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0F-B347-9029-40C495F69443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Normal (PB)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Charts!$A$2:$A$11</c:f>
              <c:strCache>
                <c:ptCount val="10"/>
                <c:pt idx="0">
                  <c:v>LOY1 (FY2026)</c:v>
                </c:pt>
                <c:pt idx="1">
                  <c:v>LOY2 (FY2027)</c:v>
                </c:pt>
                <c:pt idx="2">
                  <c:v>LOY3 (FY2028)</c:v>
                </c:pt>
                <c:pt idx="3">
                  <c:v>LOY4 (FY2029)</c:v>
                </c:pt>
                <c:pt idx="4">
                  <c:v>LOY5 (FY2030)</c:v>
                </c:pt>
                <c:pt idx="5">
                  <c:v>LOY6 (FY2031)</c:v>
                </c:pt>
                <c:pt idx="6">
                  <c:v>LOY7 (FY2032)</c:v>
                </c:pt>
                <c:pt idx="7">
                  <c:v>LOY8 (FY2033)</c:v>
                </c:pt>
                <c:pt idx="8">
                  <c:v>LOY9 (FY2034)</c:v>
                </c:pt>
                <c:pt idx="9">
                  <c:v>LOY10 (FY2035)</c:v>
                </c:pt>
              </c:strCache>
            </c:strRef>
          </c:cat>
          <c:val>
            <c:numRef>
              <c:f>Charts!$C$2:$C$11</c:f>
              <c:numCache>
                <c:formatCode>#,##0.0</c:formatCode>
                <c:ptCount val="10"/>
                <c:pt idx="0">
                  <c:v>14.825166604827286</c:v>
                </c:pt>
                <c:pt idx="1">
                  <c:v>19.087772404827284</c:v>
                </c:pt>
                <c:pt idx="2">
                  <c:v>23.282067604827287</c:v>
                </c:pt>
                <c:pt idx="3">
                  <c:v>27.400795924827285</c:v>
                </c:pt>
                <c:pt idx="4">
                  <c:v>31.328527684827286</c:v>
                </c:pt>
                <c:pt idx="5">
                  <c:v>35.366461924827284</c:v>
                </c:pt>
                <c:pt idx="6">
                  <c:v>39.55854168482729</c:v>
                </c:pt>
                <c:pt idx="7">
                  <c:v>43.893531364827282</c:v>
                </c:pt>
                <c:pt idx="8">
                  <c:v>48.322029604827279</c:v>
                </c:pt>
                <c:pt idx="9">
                  <c:v>52.896920404827277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0F-B347-9029-40C495F69443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Qserv (PB)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Charts!$A$2:$A$11</c:f>
              <c:strCache>
                <c:ptCount val="10"/>
                <c:pt idx="0">
                  <c:v>LOY1 (FY2026)</c:v>
                </c:pt>
                <c:pt idx="1">
                  <c:v>LOY2 (FY2027)</c:v>
                </c:pt>
                <c:pt idx="2">
                  <c:v>LOY3 (FY2028)</c:v>
                </c:pt>
                <c:pt idx="3">
                  <c:v>LOY4 (FY2029)</c:v>
                </c:pt>
                <c:pt idx="4">
                  <c:v>LOY5 (FY2030)</c:v>
                </c:pt>
                <c:pt idx="5">
                  <c:v>LOY6 (FY2031)</c:v>
                </c:pt>
                <c:pt idx="6">
                  <c:v>LOY7 (FY2032)</c:v>
                </c:pt>
                <c:pt idx="7">
                  <c:v>LOY8 (FY2033)</c:v>
                </c:pt>
                <c:pt idx="8">
                  <c:v>LOY9 (FY2034)</c:v>
                </c:pt>
                <c:pt idx="9">
                  <c:v>LOY10 (FY2035)</c:v>
                </c:pt>
              </c:strCache>
            </c:strRef>
          </c:cat>
          <c:val>
            <c:numRef>
              <c:f>Charts!$D$2:$D$11</c:f>
              <c:numCache>
                <c:formatCode>#,##0.0</c:formatCode>
                <c:ptCount val="10"/>
                <c:pt idx="0">
                  <c:v>3.5095635000000001</c:v>
                </c:pt>
                <c:pt idx="1">
                  <c:v>9.257301</c:v>
                </c:pt>
                <c:pt idx="2">
                  <c:v>17.275216799999999</c:v>
                </c:pt>
                <c:pt idx="3">
                  <c:v>24.1437621</c:v>
                </c:pt>
                <c:pt idx="4">
                  <c:v>31.276566599999999</c:v>
                </c:pt>
                <c:pt idx="5">
                  <c:v>38.733733800000003</c:v>
                </c:pt>
                <c:pt idx="6">
                  <c:v>46.554739199999993</c:v>
                </c:pt>
                <c:pt idx="7">
                  <c:v>54.716219700000003</c:v>
                </c:pt>
                <c:pt idx="8">
                  <c:v>63.205979100000008</c:v>
                </c:pt>
                <c:pt idx="9">
                  <c:v>72.016511700000009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00F-B347-9029-40C495F69443}"/>
            </c:ext>
          </c:extLst>
        </c:ser>
        <c:ser>
          <c:idx val="3"/>
          <c:order val="3"/>
          <c:tx>
            <c:strRef>
              <c:f>Charts!$E$1</c:f>
              <c:strCache>
                <c:ptCount val="1"/>
                <c:pt idx="0">
                  <c:v>Object Store (PB)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Charts!$A$2:$A$11</c:f>
              <c:strCache>
                <c:ptCount val="10"/>
                <c:pt idx="0">
                  <c:v>LOY1 (FY2026)</c:v>
                </c:pt>
                <c:pt idx="1">
                  <c:v>LOY2 (FY2027)</c:v>
                </c:pt>
                <c:pt idx="2">
                  <c:v>LOY3 (FY2028)</c:v>
                </c:pt>
                <c:pt idx="3">
                  <c:v>LOY4 (FY2029)</c:v>
                </c:pt>
                <c:pt idx="4">
                  <c:v>LOY5 (FY2030)</c:v>
                </c:pt>
                <c:pt idx="5">
                  <c:v>LOY6 (FY2031)</c:v>
                </c:pt>
                <c:pt idx="6">
                  <c:v>LOY7 (FY2032)</c:v>
                </c:pt>
                <c:pt idx="7">
                  <c:v>LOY8 (FY2033)</c:v>
                </c:pt>
                <c:pt idx="8">
                  <c:v>LOY9 (FY2034)</c:v>
                </c:pt>
                <c:pt idx="9">
                  <c:v>LOY10 (FY2035)</c:v>
                </c:pt>
              </c:strCache>
            </c:strRef>
          </c:cat>
          <c:val>
            <c:numRef>
              <c:f>Charts!$E$2:$E$11</c:f>
              <c:numCache>
                <c:formatCode>#,##0.0</c:formatCode>
                <c:ptCount val="10"/>
                <c:pt idx="0">
                  <c:v>8.0778950767680016</c:v>
                </c:pt>
                <c:pt idx="1">
                  <c:v>16.155790153536003</c:v>
                </c:pt>
                <c:pt idx="2">
                  <c:v>21.472983230304003</c:v>
                </c:pt>
                <c:pt idx="3">
                  <c:v>22.792376307072001</c:v>
                </c:pt>
                <c:pt idx="4">
                  <c:v>24.111769383840002</c:v>
                </c:pt>
                <c:pt idx="5">
                  <c:v>25.431162460608</c:v>
                </c:pt>
                <c:pt idx="6">
                  <c:v>26.750555537375998</c:v>
                </c:pt>
                <c:pt idx="7">
                  <c:v>28.069948614144</c:v>
                </c:pt>
                <c:pt idx="8">
                  <c:v>29.389341690911998</c:v>
                </c:pt>
                <c:pt idx="9">
                  <c:v>30.708734767679999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00F-B347-9029-40C495F69443}"/>
            </c:ext>
          </c:extLst>
        </c:ser>
        <c:ser>
          <c:idx val="4"/>
          <c:order val="4"/>
          <c:tx>
            <c:strRef>
              <c:f>Charts!$F$1</c:f>
              <c:strCache>
                <c:ptCount val="1"/>
                <c:pt idx="0">
                  <c:v>Tape (PB)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Charts!$A$2:$A$11</c:f>
              <c:strCache>
                <c:ptCount val="10"/>
                <c:pt idx="0">
                  <c:v>LOY1 (FY2026)</c:v>
                </c:pt>
                <c:pt idx="1">
                  <c:v>LOY2 (FY2027)</c:v>
                </c:pt>
                <c:pt idx="2">
                  <c:v>LOY3 (FY2028)</c:v>
                </c:pt>
                <c:pt idx="3">
                  <c:v>LOY4 (FY2029)</c:v>
                </c:pt>
                <c:pt idx="4">
                  <c:v>LOY5 (FY2030)</c:v>
                </c:pt>
                <c:pt idx="5">
                  <c:v>LOY6 (FY2031)</c:v>
                </c:pt>
                <c:pt idx="6">
                  <c:v>LOY7 (FY2032)</c:v>
                </c:pt>
                <c:pt idx="7">
                  <c:v>LOY8 (FY2033)</c:v>
                </c:pt>
                <c:pt idx="8">
                  <c:v>LOY9 (FY2034)</c:v>
                </c:pt>
                <c:pt idx="9">
                  <c:v>LOY10 (FY2035)</c:v>
                </c:pt>
              </c:strCache>
            </c:strRef>
          </c:cat>
          <c:val>
            <c:numRef>
              <c:f>Charts!$F$2:$F$11</c:f>
              <c:numCache>
                <c:formatCode>#,##0.0</c:formatCode>
                <c:ptCount val="10"/>
                <c:pt idx="0">
                  <c:v>14.778316181595285</c:v>
                </c:pt>
                <c:pt idx="1">
                  <c:v>31.547066663190567</c:v>
                </c:pt>
                <c:pt idx="2">
                  <c:v>50.214866344785854</c:v>
                </c:pt>
                <c:pt idx="3">
                  <c:v>70.619120746381142</c:v>
                </c:pt>
                <c:pt idx="4">
                  <c:v>92.427997107976438</c:v>
                </c:pt>
                <c:pt idx="5">
                  <c:v>115.65986250957171</c:v>
                </c:pt>
                <c:pt idx="6">
                  <c:v>140.340407871167</c:v>
                </c:pt>
                <c:pt idx="7">
                  <c:v>166.49345151276228</c:v>
                </c:pt>
                <c:pt idx="8">
                  <c:v>194.13457819435757</c:v>
                </c:pt>
                <c:pt idx="9">
                  <c:v>223.28818667595286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0F-B347-9029-40C495F69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Petabytes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Storage Detail: Flash / Qserv / Object Store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Charts!$B$13</c:f>
              <c:strCache>
                <c:ptCount val="1"/>
                <c:pt idx="0">
                  <c:v>Flash (PB)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Charts!$A$14:$A$23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Charts!$B$14:$B$23</c:f>
              <c:numCache>
                <c:formatCode>#,##0.0</c:formatCode>
                <c:ptCount val="10"/>
                <c:pt idx="0">
                  <c:v>0.35299894736842102</c:v>
                </c:pt>
                <c:pt idx="1">
                  <c:v>0.54341644736842099</c:v>
                </c:pt>
                <c:pt idx="2">
                  <c:v>0.75890164736842103</c:v>
                </c:pt>
                <c:pt idx="3">
                  <c:v>0.84004744736842096</c:v>
                </c:pt>
                <c:pt idx="4">
                  <c:v>0.90787234736842104</c:v>
                </c:pt>
                <c:pt idx="5">
                  <c:v>0.97103374736842096</c:v>
                </c:pt>
                <c:pt idx="6">
                  <c:v>1.0314831473684209</c:v>
                </c:pt>
                <c:pt idx="7">
                  <c:v>1.0908390473684211</c:v>
                </c:pt>
                <c:pt idx="8">
                  <c:v>1.147386047368421</c:v>
                </c:pt>
                <c:pt idx="9">
                  <c:v>1.202169047368421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E3-0546-B031-4F155DB671BE}"/>
            </c:ext>
          </c:extLst>
        </c:ser>
        <c:ser>
          <c:idx val="1"/>
          <c:order val="1"/>
          <c:tx>
            <c:strRef>
              <c:f>Charts!$C$13</c:f>
              <c:strCache>
                <c:ptCount val="1"/>
                <c:pt idx="0">
                  <c:v>Qserv (PB)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Charts!$A$14:$A$23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Charts!$C$14:$C$23</c:f>
              <c:numCache>
                <c:formatCode>#,##0.0</c:formatCode>
                <c:ptCount val="10"/>
                <c:pt idx="0">
                  <c:v>3.5095635000000001</c:v>
                </c:pt>
                <c:pt idx="1">
                  <c:v>9.257301</c:v>
                </c:pt>
                <c:pt idx="2">
                  <c:v>17.275216799999999</c:v>
                </c:pt>
                <c:pt idx="3">
                  <c:v>24.1437621</c:v>
                </c:pt>
                <c:pt idx="4">
                  <c:v>31.276566599999999</c:v>
                </c:pt>
                <c:pt idx="5">
                  <c:v>38.733733800000003</c:v>
                </c:pt>
                <c:pt idx="6">
                  <c:v>46.554739199999993</c:v>
                </c:pt>
                <c:pt idx="7">
                  <c:v>54.716219700000003</c:v>
                </c:pt>
                <c:pt idx="8">
                  <c:v>63.205979100000008</c:v>
                </c:pt>
                <c:pt idx="9">
                  <c:v>72.016511700000009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E3-0546-B031-4F155DB671BE}"/>
            </c:ext>
          </c:extLst>
        </c:ser>
        <c:ser>
          <c:idx val="2"/>
          <c:order val="2"/>
          <c:tx>
            <c:strRef>
              <c:f>Charts!$D$13</c:f>
              <c:strCache>
                <c:ptCount val="1"/>
                <c:pt idx="0">
                  <c:v>Object Store (PB)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Charts!$A$14:$A$23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Charts!$D$14:$D$23</c:f>
              <c:numCache>
                <c:formatCode>#,##0.0</c:formatCode>
                <c:ptCount val="10"/>
                <c:pt idx="0">
                  <c:v>8.0778950767680016</c:v>
                </c:pt>
                <c:pt idx="1">
                  <c:v>16.155790153536003</c:v>
                </c:pt>
                <c:pt idx="2">
                  <c:v>21.472983230304003</c:v>
                </c:pt>
                <c:pt idx="3">
                  <c:v>22.792376307072001</c:v>
                </c:pt>
                <c:pt idx="4">
                  <c:v>24.111769383840002</c:v>
                </c:pt>
                <c:pt idx="5">
                  <c:v>25.431162460608</c:v>
                </c:pt>
                <c:pt idx="6">
                  <c:v>26.750555537375998</c:v>
                </c:pt>
                <c:pt idx="7">
                  <c:v>28.069948614144</c:v>
                </c:pt>
                <c:pt idx="8">
                  <c:v>29.389341690911998</c:v>
                </c:pt>
                <c:pt idx="9">
                  <c:v>30.708734767679999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9E3-0546-B031-4F155DB67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Petabytes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Data Product Size Breakdown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Charts!$B$25</c:f>
              <c:strCache>
                <c:ptCount val="1"/>
                <c:pt idx="0">
                  <c:v>Raw Images (PB)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Charts!$A$26:$A$35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Charts!$B$26:$B$35</c:f>
              <c:numCache>
                <c:formatCode>#,##0.0</c:formatCode>
                <c:ptCount val="10"/>
                <c:pt idx="0">
                  <c:v>1.3193930767680002</c:v>
                </c:pt>
                <c:pt idx="1">
                  <c:v>2.6387861535360004</c:v>
                </c:pt>
                <c:pt idx="2">
                  <c:v>3.9581792303040002</c:v>
                </c:pt>
                <c:pt idx="3">
                  <c:v>5.2775723070720009</c:v>
                </c:pt>
                <c:pt idx="4">
                  <c:v>6.5969653838400006</c:v>
                </c:pt>
                <c:pt idx="5">
                  <c:v>7.9163584606080013</c:v>
                </c:pt>
                <c:pt idx="6">
                  <c:v>9.235751537376002</c:v>
                </c:pt>
                <c:pt idx="7">
                  <c:v>10.555144614144002</c:v>
                </c:pt>
                <c:pt idx="8">
                  <c:v>11.874537690912</c:v>
                </c:pt>
                <c:pt idx="9">
                  <c:v>13.19393076768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1-7D42-9AC3-92FEB549FA71}"/>
            </c:ext>
          </c:extLst>
        </c:ser>
        <c:ser>
          <c:idx val="1"/>
          <c:order val="1"/>
          <c:tx>
            <c:strRef>
              <c:f>Charts!$C$25</c:f>
              <c:strCache>
                <c:ptCount val="1"/>
                <c:pt idx="0">
                  <c:v>Processed Images (PB)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Charts!$A$26:$A$35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Charts!$C$26:$C$35</c:f>
              <c:numCache>
                <c:formatCode>#,##0.0</c:formatCode>
                <c:ptCount val="10"/>
                <c:pt idx="0">
                  <c:v>1.0807020000000001</c:v>
                </c:pt>
                <c:pt idx="1">
                  <c:v>2.1614040000000001</c:v>
                </c:pt>
                <c:pt idx="2">
                  <c:v>2.1614040000000001</c:v>
                </c:pt>
                <c:pt idx="3">
                  <c:v>2.1614040000000001</c:v>
                </c:pt>
                <c:pt idx="4">
                  <c:v>2.1614040000000001</c:v>
                </c:pt>
                <c:pt idx="5">
                  <c:v>2.1614040000000001</c:v>
                </c:pt>
                <c:pt idx="6">
                  <c:v>2.1614040000000001</c:v>
                </c:pt>
                <c:pt idx="7">
                  <c:v>2.1614040000000001</c:v>
                </c:pt>
                <c:pt idx="8">
                  <c:v>2.1614040000000001</c:v>
                </c:pt>
                <c:pt idx="9">
                  <c:v>2.1614040000000001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1-7D42-9AC3-92FEB549FA71}"/>
            </c:ext>
          </c:extLst>
        </c:ser>
        <c:ser>
          <c:idx val="2"/>
          <c:order val="2"/>
          <c:tx>
            <c:strRef>
              <c:f>Charts!$D$25</c:f>
              <c:strCache>
                <c:ptCount val="1"/>
                <c:pt idx="0">
                  <c:v>Co-added Images (PB)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Charts!$A$26:$A$35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Charts!$D$26:$D$35</c:f>
              <c:numCache>
                <c:formatCode>#,##0.0</c:formatCode>
                <c:ptCount val="10"/>
                <c:pt idx="0">
                  <c:v>2.7</c:v>
                </c:pt>
                <c:pt idx="1">
                  <c:v>5.4</c:v>
                </c:pt>
                <c:pt idx="2">
                  <c:v>8.1</c:v>
                </c:pt>
                <c:pt idx="3">
                  <c:v>8.1</c:v>
                </c:pt>
                <c:pt idx="4">
                  <c:v>8.1</c:v>
                </c:pt>
                <c:pt idx="5">
                  <c:v>8.1</c:v>
                </c:pt>
                <c:pt idx="6">
                  <c:v>8.1</c:v>
                </c:pt>
                <c:pt idx="7">
                  <c:v>8.1</c:v>
                </c:pt>
                <c:pt idx="8">
                  <c:v>8.1</c:v>
                </c:pt>
                <c:pt idx="9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91-7D42-9AC3-92FEB549FA71}"/>
            </c:ext>
          </c:extLst>
        </c:ser>
        <c:ser>
          <c:idx val="3"/>
          <c:order val="3"/>
          <c:tx>
            <c:strRef>
              <c:f>Charts!$E$25</c:f>
              <c:strCache>
                <c:ptCount val="1"/>
                <c:pt idx="0">
                  <c:v>Parquet Tables (PB)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Charts!$A$26:$A$35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Charts!$E$26:$E$35</c:f>
              <c:numCache>
                <c:formatCode>#,##0.0</c:formatCode>
                <c:ptCount val="10"/>
                <c:pt idx="0">
                  <c:v>1.2978000000000001</c:v>
                </c:pt>
                <c:pt idx="1">
                  <c:v>2.5956000000000001</c:v>
                </c:pt>
                <c:pt idx="2">
                  <c:v>3.8933999999999997</c:v>
                </c:pt>
                <c:pt idx="3">
                  <c:v>3.8933999999999997</c:v>
                </c:pt>
                <c:pt idx="4">
                  <c:v>3.8933999999999997</c:v>
                </c:pt>
                <c:pt idx="5">
                  <c:v>3.8933999999999997</c:v>
                </c:pt>
                <c:pt idx="6">
                  <c:v>3.8933999999999997</c:v>
                </c:pt>
                <c:pt idx="7">
                  <c:v>3.8933999999999997</c:v>
                </c:pt>
                <c:pt idx="8">
                  <c:v>3.8933999999999997</c:v>
                </c:pt>
                <c:pt idx="9">
                  <c:v>3.8933999999999997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91-7D42-9AC3-92FEB549FA71}"/>
            </c:ext>
          </c:extLst>
        </c:ser>
        <c:ser>
          <c:idx val="4"/>
          <c:order val="4"/>
          <c:tx>
            <c:strRef>
              <c:f>Charts!$F$25</c:f>
              <c:strCache>
                <c:ptCount val="1"/>
                <c:pt idx="0">
                  <c:v>Catalog Database (PB)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Charts!$A$26:$A$35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Charts!$F$26:$F$35</c:f>
              <c:numCache>
                <c:formatCode>#,##0.0</c:formatCode>
                <c:ptCount val="10"/>
                <c:pt idx="0">
                  <c:v>3.6659835000000003</c:v>
                </c:pt>
                <c:pt idx="1">
                  <c:v>5.9381550000000001</c:v>
                </c:pt>
                <c:pt idx="2">
                  <c:v>8.2334010000000006</c:v>
                </c:pt>
                <c:pt idx="3">
                  <c:v>10.6156746</c:v>
                </c:pt>
                <c:pt idx="4">
                  <c:v>13.138784399999999</c:v>
                </c:pt>
                <c:pt idx="5">
                  <c:v>15.7537296</c:v>
                </c:pt>
                <c:pt idx="6">
                  <c:v>18.497129400000002</c:v>
                </c:pt>
                <c:pt idx="7">
                  <c:v>21.359620800000002</c:v>
                </c:pt>
                <c:pt idx="8">
                  <c:v>24.300035999999999</c:v>
                </c:pt>
                <c:pt idx="9">
                  <c:v>27.362445000000001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91-7D42-9AC3-92FEB549F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Petabytes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DRP Core-Hours Projection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Charts!$B$37</c:f>
              <c:strCache>
                <c:ptCount val="1"/>
                <c:pt idx="0">
                  <c:v>DRP Core-Hours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Charts!$A$38:$A$47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Charts!$B$38:$B$47</c:f>
              <c:numCache>
                <c:formatCode>#,##0</c:formatCode>
                <c:ptCount val="10"/>
                <c:pt idx="0">
                  <c:v>16420799</c:v>
                </c:pt>
                <c:pt idx="1">
                  <c:v>32841598</c:v>
                </c:pt>
                <c:pt idx="2">
                  <c:v>49262397</c:v>
                </c:pt>
                <c:pt idx="3">
                  <c:v>65683196</c:v>
                </c:pt>
                <c:pt idx="4">
                  <c:v>82103995</c:v>
                </c:pt>
                <c:pt idx="5">
                  <c:v>98524794</c:v>
                </c:pt>
                <c:pt idx="6">
                  <c:v>114945593</c:v>
                </c:pt>
                <c:pt idx="7">
                  <c:v>131366392</c:v>
                </c:pt>
                <c:pt idx="8">
                  <c:v>147787191</c:v>
                </c:pt>
                <c:pt idx="9">
                  <c:v>164207990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36-9649-9816-400CA7BED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Core-Hours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USDF Cost Forecast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Charts!$B$49</c:f>
              <c:strCache>
                <c:ptCount val="1"/>
                <c:pt idx="0">
                  <c:v>Annual Cost ($M)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Charts!$A$50:$A$59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Charts!$B$50:$B$59</c:f>
              <c:numCache>
                <c:formatCode>\$#,##0.000</c:formatCode>
                <c:ptCount val="10"/>
                <c:pt idx="0">
                  <c:v>5.5747824715904661</c:v>
                </c:pt>
                <c:pt idx="1">
                  <c:v>5.3664345665852915</c:v>
                </c:pt>
                <c:pt idx="2">
                  <c:v>1.9281265558612919</c:v>
                </c:pt>
                <c:pt idx="3">
                  <c:v>6.3904741208820912</c:v>
                </c:pt>
                <c:pt idx="4">
                  <c:v>7.6374952991016922</c:v>
                </c:pt>
                <c:pt idx="5">
                  <c:v>4.4383649744448919</c:v>
                </c:pt>
                <c:pt idx="6">
                  <c:v>0.60528397627169161</c:v>
                </c:pt>
                <c:pt idx="7">
                  <c:v>5.869049537254492</c:v>
                </c:pt>
                <c:pt idx="8">
                  <c:v>6.0904576203248908</c:v>
                </c:pt>
                <c:pt idx="9">
                  <c:v>0.13717067980529163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BC-0B45-A929-D01C6BCA3F57}"/>
            </c:ext>
          </c:extLst>
        </c:ser>
        <c:ser>
          <c:idx val="1"/>
          <c:order val="1"/>
          <c:tx>
            <c:strRef>
              <c:f>Charts!$C$49</c:f>
              <c:strCache>
                <c:ptCount val="1"/>
                <c:pt idx="0">
                  <c:v>Cumulative Cost ($M)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Charts!$A$50:$A$59</c:f>
              <c:strCache>
                <c:ptCount val="10"/>
                <c:pt idx="0">
                  <c:v>LOY1</c:v>
                </c:pt>
                <c:pt idx="1">
                  <c:v>LOY2</c:v>
                </c:pt>
                <c:pt idx="2">
                  <c:v>LOY3</c:v>
                </c:pt>
                <c:pt idx="3">
                  <c:v>LOY4</c:v>
                </c:pt>
                <c:pt idx="4">
                  <c:v>LOY5</c:v>
                </c:pt>
                <c:pt idx="5">
                  <c:v>LOY6</c:v>
                </c:pt>
                <c:pt idx="6">
                  <c:v>LOY7</c:v>
                </c:pt>
                <c:pt idx="7">
                  <c:v>LOY8</c:v>
                </c:pt>
                <c:pt idx="8">
                  <c:v>LOY9</c:v>
                </c:pt>
                <c:pt idx="9">
                  <c:v>LOY10</c:v>
                </c:pt>
              </c:strCache>
            </c:strRef>
          </c:cat>
          <c:val>
            <c:numRef>
              <c:f>Charts!$C$50:$C$59</c:f>
              <c:numCache>
                <c:formatCode>\$#,##0.000</c:formatCode>
                <c:ptCount val="10"/>
                <c:pt idx="0">
                  <c:v>5.5747824715904661</c:v>
                </c:pt>
                <c:pt idx="1">
                  <c:v>10.941217038175758</c:v>
                </c:pt>
                <c:pt idx="2">
                  <c:v>12.86934359403705</c:v>
                </c:pt>
                <c:pt idx="3">
                  <c:v>19.259817714919141</c:v>
                </c:pt>
                <c:pt idx="4">
                  <c:v>26.897313014020831</c:v>
                </c:pt>
                <c:pt idx="5">
                  <c:v>31.335677988465722</c:v>
                </c:pt>
                <c:pt idx="6">
                  <c:v>31.940961964737415</c:v>
                </c:pt>
                <c:pt idx="7">
                  <c:v>37.810011501991909</c:v>
                </c:pt>
                <c:pt idx="8">
                  <c:v>43.9004691223168</c:v>
                </c:pt>
                <c:pt idx="9">
                  <c:v>44.037639802122094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BC-0B45-A929-D01C6BCA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\$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1008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32</xdr:row>
      <xdr:rowOff>0</xdr:rowOff>
    </xdr:from>
    <xdr:ext cx="10080000" cy="57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48</xdr:row>
      <xdr:rowOff>0</xdr:rowOff>
    </xdr:from>
    <xdr:ext cx="10080000" cy="57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0</xdr:colOff>
      <xdr:row>64</xdr:row>
      <xdr:rowOff>0</xdr:rowOff>
    </xdr:from>
    <xdr:ext cx="10080000" cy="57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C52"/>
  <sheetViews>
    <sheetView topLeftCell="A23" workbookViewId="0"/>
  </sheetViews>
  <sheetFormatPr baseColWidth="10" defaultColWidth="8.83203125" defaultRowHeight="15" x14ac:dyDescent="0.2"/>
  <cols>
    <col min="1" max="1" width="35" customWidth="1"/>
    <col min="2" max="2" width="20" customWidth="1"/>
    <col min="3" max="3" width="50" customWidth="1"/>
  </cols>
  <sheetData>
    <row r="1" spans="1:3" ht="19" x14ac:dyDescent="0.25">
      <c r="A1" s="1" t="s">
        <v>0</v>
      </c>
    </row>
    <row r="3" spans="1:3" ht="16" x14ac:dyDescent="0.2">
      <c r="A3" s="2" t="s">
        <v>1</v>
      </c>
      <c r="B3" s="2" t="s">
        <v>2</v>
      </c>
      <c r="C3" s="2" t="s">
        <v>3</v>
      </c>
    </row>
    <row r="4" spans="1:3" x14ac:dyDescent="0.2">
      <c r="A4" s="3" t="s">
        <v>4</v>
      </c>
    </row>
    <row r="5" spans="1:3" x14ac:dyDescent="0.2">
      <c r="A5" t="s">
        <v>5</v>
      </c>
      <c r="B5">
        <v>5700</v>
      </c>
      <c r="C5" t="s">
        <v>6</v>
      </c>
    </row>
    <row r="6" spans="1:3" x14ac:dyDescent="0.2">
      <c r="A6" t="s">
        <v>7</v>
      </c>
      <c r="B6" t="s">
        <v>8</v>
      </c>
      <c r="C6" t="s">
        <v>9</v>
      </c>
    </row>
    <row r="7" spans="1:3" x14ac:dyDescent="0.2">
      <c r="A7" t="s">
        <v>10</v>
      </c>
      <c r="B7">
        <v>1.5</v>
      </c>
    </row>
    <row r="8" spans="1:3" x14ac:dyDescent="0.2">
      <c r="A8" t="s">
        <v>11</v>
      </c>
      <c r="B8">
        <v>120</v>
      </c>
    </row>
    <row r="9" spans="1:3" x14ac:dyDescent="0.2">
      <c r="A9" t="s">
        <v>12</v>
      </c>
      <c r="B9">
        <v>200</v>
      </c>
    </row>
    <row r="10" spans="1:3" x14ac:dyDescent="0.2">
      <c r="A10" t="s">
        <v>13</v>
      </c>
      <c r="B10">
        <v>47</v>
      </c>
      <c r="C10" t="s">
        <v>14</v>
      </c>
    </row>
    <row r="11" spans="1:3" x14ac:dyDescent="0.2">
      <c r="A11" t="s">
        <v>15</v>
      </c>
      <c r="B11">
        <v>1.6</v>
      </c>
    </row>
    <row r="12" spans="1:3" x14ac:dyDescent="0.2">
      <c r="A12" t="s">
        <v>16</v>
      </c>
      <c r="B12">
        <v>1.1399999999999999</v>
      </c>
    </row>
    <row r="13" spans="1:3" x14ac:dyDescent="0.2">
      <c r="A13" t="s">
        <v>17</v>
      </c>
      <c r="B13">
        <v>2</v>
      </c>
    </row>
    <row r="14" spans="1:3" x14ac:dyDescent="0.2">
      <c r="A14" s="3" t="s">
        <v>18</v>
      </c>
    </row>
    <row r="15" spans="1:3" x14ac:dyDescent="0.2">
      <c r="A15" t="s">
        <v>19</v>
      </c>
      <c r="B15">
        <v>5.6</v>
      </c>
      <c r="C15" t="s">
        <v>20</v>
      </c>
    </row>
    <row r="16" spans="1:3" x14ac:dyDescent="0.2">
      <c r="A16" t="s">
        <v>21</v>
      </c>
      <c r="B16">
        <v>6</v>
      </c>
      <c r="C16" t="s">
        <v>22</v>
      </c>
    </row>
    <row r="17" spans="1:3" x14ac:dyDescent="0.2">
      <c r="A17" t="s">
        <v>23</v>
      </c>
      <c r="B17">
        <v>2027</v>
      </c>
    </row>
    <row r="18" spans="1:3" x14ac:dyDescent="0.2">
      <c r="A18" s="3" t="s">
        <v>24</v>
      </c>
    </row>
    <row r="19" spans="1:3" x14ac:dyDescent="0.2">
      <c r="A19" t="s">
        <v>25</v>
      </c>
      <c r="B19">
        <v>92</v>
      </c>
    </row>
    <row r="20" spans="1:3" x14ac:dyDescent="0.2">
      <c r="A20" t="s">
        <v>11</v>
      </c>
      <c r="B20">
        <v>32</v>
      </c>
    </row>
    <row r="21" spans="1:3" x14ac:dyDescent="0.2">
      <c r="A21" t="s">
        <v>26</v>
      </c>
      <c r="B21">
        <v>32</v>
      </c>
    </row>
    <row r="22" spans="1:3" x14ac:dyDescent="0.2">
      <c r="A22" t="s">
        <v>27</v>
      </c>
      <c r="B22">
        <v>3</v>
      </c>
    </row>
    <row r="23" spans="1:3" x14ac:dyDescent="0.2">
      <c r="A23" s="3" t="s">
        <v>28</v>
      </c>
    </row>
    <row r="24" spans="1:3" x14ac:dyDescent="0.2">
      <c r="A24" t="s">
        <v>29</v>
      </c>
      <c r="B24">
        <v>110</v>
      </c>
      <c r="C24" t="s">
        <v>30</v>
      </c>
    </row>
    <row r="25" spans="1:3" x14ac:dyDescent="0.2">
      <c r="A25" t="s">
        <v>31</v>
      </c>
      <c r="B25">
        <v>35</v>
      </c>
      <c r="C25" t="s">
        <v>32</v>
      </c>
    </row>
    <row r="26" spans="1:3" x14ac:dyDescent="0.2">
      <c r="A26" t="s">
        <v>33</v>
      </c>
      <c r="B26">
        <v>75</v>
      </c>
      <c r="C26" t="s">
        <v>34</v>
      </c>
    </row>
    <row r="27" spans="1:3" x14ac:dyDescent="0.2">
      <c r="A27" t="s">
        <v>35</v>
      </c>
      <c r="B27">
        <v>11</v>
      </c>
      <c r="C27" t="s">
        <v>36</v>
      </c>
    </row>
    <row r="28" spans="1:3" x14ac:dyDescent="0.2">
      <c r="A28" t="s">
        <v>37</v>
      </c>
      <c r="B28">
        <v>2</v>
      </c>
      <c r="C28" t="s">
        <v>38</v>
      </c>
    </row>
    <row r="29" spans="1:3" x14ac:dyDescent="0.2">
      <c r="A29" t="s">
        <v>39</v>
      </c>
      <c r="B29">
        <v>92</v>
      </c>
      <c r="C29" t="s">
        <v>40</v>
      </c>
    </row>
    <row r="30" spans="1:3" x14ac:dyDescent="0.2">
      <c r="A30" t="s">
        <v>41</v>
      </c>
      <c r="B30">
        <v>12</v>
      </c>
      <c r="C30" t="s">
        <v>42</v>
      </c>
    </row>
    <row r="31" spans="1:3" x14ac:dyDescent="0.2">
      <c r="A31" t="s">
        <v>43</v>
      </c>
      <c r="B31">
        <v>4</v>
      </c>
      <c r="C31" t="s">
        <v>44</v>
      </c>
    </row>
    <row r="32" spans="1:3" x14ac:dyDescent="0.2">
      <c r="A32" t="s">
        <v>45</v>
      </c>
      <c r="B32" t="s">
        <v>46</v>
      </c>
      <c r="C32" t="s">
        <v>47</v>
      </c>
    </row>
    <row r="33" spans="1:3" x14ac:dyDescent="0.2">
      <c r="A33" t="s">
        <v>48</v>
      </c>
      <c r="B33">
        <v>30</v>
      </c>
      <c r="C33" t="s">
        <v>49</v>
      </c>
    </row>
    <row r="34" spans="1:3" x14ac:dyDescent="0.2">
      <c r="A34" t="s">
        <v>50</v>
      </c>
      <c r="B34">
        <v>17400</v>
      </c>
      <c r="C34" t="s">
        <v>51</v>
      </c>
    </row>
    <row r="35" spans="1:3" x14ac:dyDescent="0.2">
      <c r="A35" s="3" t="s">
        <v>52</v>
      </c>
    </row>
    <row r="36" spans="1:3" x14ac:dyDescent="0.2">
      <c r="A36" t="s">
        <v>53</v>
      </c>
      <c r="B36">
        <v>11800</v>
      </c>
    </row>
    <row r="37" spans="1:3" x14ac:dyDescent="0.2">
      <c r="A37" t="s">
        <v>54</v>
      </c>
      <c r="B37">
        <v>16000</v>
      </c>
      <c r="C37" t="s">
        <v>55</v>
      </c>
    </row>
    <row r="38" spans="1:3" x14ac:dyDescent="0.2">
      <c r="A38" t="s">
        <v>56</v>
      </c>
      <c r="B38">
        <v>8000</v>
      </c>
    </row>
    <row r="39" spans="1:3" x14ac:dyDescent="0.2">
      <c r="A39" t="s">
        <v>57</v>
      </c>
      <c r="B39">
        <v>20000</v>
      </c>
    </row>
    <row r="40" spans="1:3" x14ac:dyDescent="0.2">
      <c r="A40" t="s">
        <v>58</v>
      </c>
      <c r="B40">
        <v>250000</v>
      </c>
    </row>
    <row r="41" spans="1:3" x14ac:dyDescent="0.2">
      <c r="A41" s="3" t="s">
        <v>59</v>
      </c>
    </row>
    <row r="42" spans="1:3" x14ac:dyDescent="0.2">
      <c r="A42" t="s">
        <v>60</v>
      </c>
      <c r="B42">
        <v>320</v>
      </c>
    </row>
    <row r="43" spans="1:3" x14ac:dyDescent="0.2">
      <c r="A43" t="s">
        <v>61</v>
      </c>
      <c r="B43">
        <v>56</v>
      </c>
    </row>
    <row r="44" spans="1:3" x14ac:dyDescent="0.2">
      <c r="A44" t="s">
        <v>62</v>
      </c>
      <c r="B44">
        <v>36</v>
      </c>
    </row>
    <row r="45" spans="1:3" x14ac:dyDescent="0.2">
      <c r="A45" t="s">
        <v>63</v>
      </c>
      <c r="B45">
        <v>12.5</v>
      </c>
    </row>
    <row r="46" spans="1:3" x14ac:dyDescent="0.2">
      <c r="A46" s="3" t="s">
        <v>64</v>
      </c>
    </row>
    <row r="47" spans="1:3" x14ac:dyDescent="0.2">
      <c r="A47" t="s">
        <v>65</v>
      </c>
      <c r="B47">
        <v>3</v>
      </c>
    </row>
    <row r="48" spans="1:3" x14ac:dyDescent="0.2">
      <c r="A48" t="s">
        <v>66</v>
      </c>
      <c r="B48">
        <v>5</v>
      </c>
    </row>
    <row r="49" spans="1:2" x14ac:dyDescent="0.2">
      <c r="A49" s="3" t="s">
        <v>67</v>
      </c>
    </row>
    <row r="50" spans="1:2" x14ac:dyDescent="0.2">
      <c r="A50" t="s">
        <v>68</v>
      </c>
      <c r="B50">
        <v>0</v>
      </c>
    </row>
    <row r="51" spans="1:2" x14ac:dyDescent="0.2">
      <c r="A51" t="s">
        <v>69</v>
      </c>
      <c r="B51">
        <v>0</v>
      </c>
    </row>
    <row r="52" spans="1:2" x14ac:dyDescent="0.2">
      <c r="A52" t="s">
        <v>70</v>
      </c>
      <c r="B5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L68"/>
  <sheetViews>
    <sheetView topLeftCell="A31" workbookViewId="0">
      <selection activeCell="E6" sqref="E6"/>
    </sheetView>
  </sheetViews>
  <sheetFormatPr baseColWidth="10" defaultColWidth="8.83203125" defaultRowHeight="15" x14ac:dyDescent="0.2"/>
  <cols>
    <col min="1" max="1" width="35" customWidth="1"/>
    <col min="2" max="2" width="12" customWidth="1"/>
    <col min="3" max="12" width="16" customWidth="1"/>
  </cols>
  <sheetData>
    <row r="1" spans="1:12" ht="17" x14ac:dyDescent="0.2">
      <c r="A1" s="4" t="s">
        <v>71</v>
      </c>
    </row>
    <row r="2" spans="1:12" ht="16" x14ac:dyDescent="0.2">
      <c r="A2" s="2" t="s">
        <v>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</row>
    <row r="4" spans="1:12" x14ac:dyDescent="0.2">
      <c r="A4" t="s">
        <v>83</v>
      </c>
      <c r="B4" t="s">
        <v>84</v>
      </c>
      <c r="C4" s="5">
        <v>27500000000</v>
      </c>
      <c r="D4" s="5">
        <v>32500000000</v>
      </c>
      <c r="E4" s="5">
        <v>35700000000</v>
      </c>
      <c r="F4" s="5">
        <v>38200000000</v>
      </c>
      <c r="G4" s="5">
        <v>40300000000</v>
      </c>
      <c r="H4" s="5">
        <v>42200000000</v>
      </c>
      <c r="I4" s="5">
        <v>43800000000</v>
      </c>
      <c r="J4" s="5">
        <v>45300000000</v>
      </c>
      <c r="K4" s="5">
        <v>46400000000</v>
      </c>
      <c r="L4" s="5">
        <v>47400000000</v>
      </c>
    </row>
    <row r="5" spans="1:12" x14ac:dyDescent="0.2">
      <c r="A5" t="s">
        <v>85</v>
      </c>
      <c r="B5" t="s">
        <v>84</v>
      </c>
      <c r="C5" s="5">
        <v>901000000000</v>
      </c>
      <c r="D5" s="5">
        <v>1800000000000</v>
      </c>
      <c r="E5" s="5">
        <v>2700000000000</v>
      </c>
      <c r="F5" s="5">
        <v>3600000000000</v>
      </c>
      <c r="G5" s="5">
        <v>4510000000000</v>
      </c>
      <c r="H5" s="5">
        <v>5410000000000</v>
      </c>
      <c r="I5" s="5">
        <v>6310000000000</v>
      </c>
      <c r="J5" s="5">
        <v>7210000000000</v>
      </c>
      <c r="K5" s="5">
        <v>8110000000000</v>
      </c>
      <c r="L5" s="5">
        <v>9010000000000</v>
      </c>
    </row>
    <row r="6" spans="1:12" x14ac:dyDescent="0.2">
      <c r="A6" t="s">
        <v>86</v>
      </c>
      <c r="B6" t="s">
        <v>84</v>
      </c>
      <c r="C6" s="5">
        <v>2910000000000</v>
      </c>
      <c r="D6" s="5">
        <v>6870000000000</v>
      </c>
      <c r="E6" s="5">
        <v>11300000000000</v>
      </c>
      <c r="F6" s="5">
        <v>16100000000000</v>
      </c>
      <c r="G6" s="5">
        <v>21300000000000</v>
      </c>
      <c r="H6" s="5">
        <v>26700000000000</v>
      </c>
      <c r="I6" s="5">
        <v>32400000000000</v>
      </c>
      <c r="J6" s="5">
        <v>38300000000000</v>
      </c>
      <c r="K6" s="5">
        <v>44100000000000</v>
      </c>
      <c r="L6" s="5">
        <v>50100000000000</v>
      </c>
    </row>
    <row r="8" spans="1:12" x14ac:dyDescent="0.2">
      <c r="A8" t="s">
        <v>87</v>
      </c>
      <c r="B8" t="s">
        <v>88</v>
      </c>
      <c r="C8" s="5">
        <v>5000</v>
      </c>
      <c r="D8" s="5">
        <v>6000</v>
      </c>
      <c r="E8" s="5">
        <v>7000</v>
      </c>
      <c r="F8" s="5">
        <v>7500</v>
      </c>
      <c r="G8" s="5">
        <v>7500</v>
      </c>
      <c r="H8" s="5">
        <v>7500</v>
      </c>
      <c r="I8" s="5">
        <v>7500</v>
      </c>
      <c r="J8" s="5">
        <v>7500</v>
      </c>
      <c r="K8" s="5">
        <v>7500</v>
      </c>
      <c r="L8" s="5">
        <v>7500</v>
      </c>
    </row>
    <row r="9" spans="1:12" x14ac:dyDescent="0.2">
      <c r="A9" t="s">
        <v>89</v>
      </c>
      <c r="B9" t="s">
        <v>90</v>
      </c>
      <c r="C9">
        <v>0.4</v>
      </c>
      <c r="D9">
        <v>0.5</v>
      </c>
      <c r="E9">
        <v>0.6</v>
      </c>
      <c r="F9">
        <v>0.7</v>
      </c>
      <c r="G9">
        <v>0.8</v>
      </c>
      <c r="H9">
        <v>0.9</v>
      </c>
      <c r="I9">
        <v>1</v>
      </c>
      <c r="J9">
        <v>1.1000000000000001</v>
      </c>
      <c r="K9">
        <v>1.2</v>
      </c>
      <c r="L9">
        <v>1.3</v>
      </c>
    </row>
    <row r="11" spans="1:12" x14ac:dyDescent="0.2">
      <c r="A11" t="s">
        <v>91</v>
      </c>
      <c r="B11" t="s">
        <v>90</v>
      </c>
      <c r="C11">
        <v>8.1922200000000001E-3</v>
      </c>
      <c r="D11">
        <v>8.1922200000000001E-3</v>
      </c>
      <c r="E11">
        <v>8.1922200000000001E-3</v>
      </c>
      <c r="F11">
        <v>8.1922200000000001E-3</v>
      </c>
      <c r="G11">
        <v>8.1922200000000001E-3</v>
      </c>
      <c r="H11">
        <v>8.1922200000000001E-3</v>
      </c>
      <c r="I11">
        <v>8.1922200000000001E-3</v>
      </c>
      <c r="J11">
        <v>8.1922200000000001E-3</v>
      </c>
      <c r="K11">
        <v>8.1922200000000001E-3</v>
      </c>
      <c r="L11">
        <v>8.1922200000000001E-3</v>
      </c>
    </row>
    <row r="12" spans="1:12" x14ac:dyDescent="0.2">
      <c r="A12" t="s">
        <v>92</v>
      </c>
      <c r="B12" t="s">
        <v>93</v>
      </c>
      <c r="C12">
        <v>0.46400000000000002</v>
      </c>
      <c r="D12">
        <v>0.46400000000000002</v>
      </c>
      <c r="E12">
        <v>0.46400000000000002</v>
      </c>
      <c r="F12">
        <v>0.46400000000000002</v>
      </c>
      <c r="G12">
        <v>0.46400000000000002</v>
      </c>
      <c r="H12">
        <v>0.46400000000000002</v>
      </c>
      <c r="I12">
        <v>0.46400000000000002</v>
      </c>
      <c r="J12">
        <v>0.46400000000000002</v>
      </c>
      <c r="K12">
        <v>0.46400000000000002</v>
      </c>
      <c r="L12">
        <v>0.46400000000000002</v>
      </c>
    </row>
    <row r="13" spans="1:12" x14ac:dyDescent="0.2">
      <c r="A13" t="s">
        <v>94</v>
      </c>
      <c r="B13" t="s">
        <v>93</v>
      </c>
      <c r="C13">
        <v>0.27</v>
      </c>
      <c r="D13">
        <v>0.27</v>
      </c>
      <c r="E13">
        <v>0.27</v>
      </c>
      <c r="F13">
        <v>0.27</v>
      </c>
      <c r="G13">
        <v>0.27</v>
      </c>
      <c r="H13">
        <v>0.27</v>
      </c>
      <c r="I13">
        <v>0.27</v>
      </c>
      <c r="J13">
        <v>0.27</v>
      </c>
      <c r="K13">
        <v>0.27</v>
      </c>
      <c r="L13">
        <v>0.27</v>
      </c>
    </row>
    <row r="14" spans="1:12" x14ac:dyDescent="0.2">
      <c r="A14" t="s">
        <v>95</v>
      </c>
      <c r="B14" t="s">
        <v>93</v>
      </c>
      <c r="C14">
        <v>0.46400000000000002</v>
      </c>
      <c r="D14">
        <v>0.46400000000000002</v>
      </c>
      <c r="E14">
        <v>0.46400000000000002</v>
      </c>
      <c r="F14">
        <v>0.46400000000000002</v>
      </c>
      <c r="G14">
        <v>0.46400000000000002</v>
      </c>
      <c r="H14">
        <v>0.46400000000000002</v>
      </c>
      <c r="I14">
        <v>0.46400000000000002</v>
      </c>
      <c r="J14">
        <v>0.46400000000000002</v>
      </c>
      <c r="K14">
        <v>0.46400000000000002</v>
      </c>
      <c r="L14">
        <v>0.46400000000000002</v>
      </c>
    </row>
    <row r="15" spans="1:12" x14ac:dyDescent="0.2">
      <c r="A15" t="s">
        <v>96</v>
      </c>
      <c r="B15" t="s">
        <v>97</v>
      </c>
      <c r="C15" s="5">
        <v>300</v>
      </c>
      <c r="D15" s="5">
        <v>300</v>
      </c>
      <c r="E15" s="5">
        <v>300</v>
      </c>
      <c r="F15" s="5">
        <v>300</v>
      </c>
      <c r="G15" s="5">
        <v>300</v>
      </c>
      <c r="H15" s="5">
        <v>300</v>
      </c>
      <c r="I15" s="5">
        <v>300</v>
      </c>
      <c r="J15" s="5">
        <v>300</v>
      </c>
      <c r="K15" s="5">
        <v>300</v>
      </c>
      <c r="L15" s="5">
        <v>300</v>
      </c>
    </row>
    <row r="16" spans="1:12" x14ac:dyDescent="0.2">
      <c r="A16" t="s">
        <v>98</v>
      </c>
      <c r="B16" t="s">
        <v>99</v>
      </c>
      <c r="C16" s="5">
        <v>700</v>
      </c>
      <c r="D16" s="5">
        <v>700</v>
      </c>
      <c r="E16" s="5">
        <v>700</v>
      </c>
      <c r="F16" s="5">
        <v>700</v>
      </c>
      <c r="G16" s="5">
        <v>700</v>
      </c>
      <c r="H16" s="5">
        <v>700</v>
      </c>
      <c r="I16" s="5">
        <v>700</v>
      </c>
      <c r="J16" s="5">
        <v>700</v>
      </c>
      <c r="K16" s="5">
        <v>700</v>
      </c>
      <c r="L16" s="5">
        <v>700</v>
      </c>
    </row>
    <row r="17" spans="1:12" x14ac:dyDescent="0.2">
      <c r="A17" t="s">
        <v>100</v>
      </c>
      <c r="B17" t="s">
        <v>101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</row>
    <row r="18" spans="1:12" x14ac:dyDescent="0.2">
      <c r="A18" t="s">
        <v>102</v>
      </c>
      <c r="B18" t="s">
        <v>101</v>
      </c>
      <c r="C18" s="5">
        <v>450</v>
      </c>
      <c r="D18" s="5">
        <v>450</v>
      </c>
      <c r="E18" s="5">
        <v>450</v>
      </c>
      <c r="F18" s="5">
        <v>450</v>
      </c>
      <c r="G18" s="5">
        <v>450</v>
      </c>
      <c r="H18" s="5">
        <v>450</v>
      </c>
      <c r="I18" s="5">
        <v>450</v>
      </c>
      <c r="J18" s="5">
        <v>450</v>
      </c>
      <c r="K18" s="5">
        <v>450</v>
      </c>
      <c r="L18" s="5">
        <v>450</v>
      </c>
    </row>
    <row r="19" spans="1:12" x14ac:dyDescent="0.2">
      <c r="A19" t="s">
        <v>103</v>
      </c>
      <c r="B19" t="s">
        <v>101</v>
      </c>
      <c r="C19" s="5">
        <f t="shared" ref="C19:L19" si="0">C15*C16*C17</f>
        <v>210000</v>
      </c>
      <c r="D19" s="5">
        <f t="shared" si="0"/>
        <v>210000</v>
      </c>
      <c r="E19" s="5">
        <f t="shared" si="0"/>
        <v>210000</v>
      </c>
      <c r="F19" s="5">
        <f t="shared" si="0"/>
        <v>210000</v>
      </c>
      <c r="G19" s="5">
        <f t="shared" si="0"/>
        <v>210000</v>
      </c>
      <c r="H19" s="5">
        <f t="shared" si="0"/>
        <v>210000</v>
      </c>
      <c r="I19" s="5">
        <f t="shared" si="0"/>
        <v>210000</v>
      </c>
      <c r="J19" s="5">
        <f t="shared" si="0"/>
        <v>210000</v>
      </c>
      <c r="K19" s="5">
        <f t="shared" si="0"/>
        <v>210000</v>
      </c>
      <c r="L19" s="5">
        <f t="shared" si="0"/>
        <v>210000</v>
      </c>
    </row>
    <row r="20" spans="1:12" x14ac:dyDescent="0.2">
      <c r="A20" t="s">
        <v>104</v>
      </c>
      <c r="B20" t="s">
        <v>101</v>
      </c>
      <c r="C20" s="5">
        <f t="shared" ref="C20:L20" si="1">0.01*C19</f>
        <v>2100</v>
      </c>
      <c r="D20" s="5">
        <f t="shared" si="1"/>
        <v>2100</v>
      </c>
      <c r="E20" s="5">
        <f t="shared" si="1"/>
        <v>2100</v>
      </c>
      <c r="F20" s="5">
        <f t="shared" si="1"/>
        <v>2100</v>
      </c>
      <c r="G20" s="5">
        <f t="shared" si="1"/>
        <v>2100</v>
      </c>
      <c r="H20" s="5">
        <f t="shared" si="1"/>
        <v>2100</v>
      </c>
      <c r="I20" s="5">
        <f t="shared" si="1"/>
        <v>2100</v>
      </c>
      <c r="J20" s="5">
        <f t="shared" si="1"/>
        <v>2100</v>
      </c>
      <c r="K20" s="5">
        <f t="shared" si="1"/>
        <v>2100</v>
      </c>
      <c r="L20" s="5">
        <f t="shared" si="1"/>
        <v>2100</v>
      </c>
    </row>
    <row r="21" spans="1:12" x14ac:dyDescent="0.2">
      <c r="A21" t="s">
        <v>105</v>
      </c>
      <c r="B21" t="s">
        <v>101</v>
      </c>
      <c r="C21" s="5">
        <f t="shared" ref="C21:L21" si="2">C15*C18</f>
        <v>135000</v>
      </c>
      <c r="D21" s="5">
        <f t="shared" si="2"/>
        <v>135000</v>
      </c>
      <c r="E21" s="5">
        <f t="shared" si="2"/>
        <v>135000</v>
      </c>
      <c r="F21" s="5">
        <f t="shared" si="2"/>
        <v>135000</v>
      </c>
      <c r="G21" s="5">
        <f t="shared" si="2"/>
        <v>135000</v>
      </c>
      <c r="H21" s="5">
        <f t="shared" si="2"/>
        <v>135000</v>
      </c>
      <c r="I21" s="5">
        <f t="shared" si="2"/>
        <v>135000</v>
      </c>
      <c r="J21" s="5">
        <f t="shared" si="2"/>
        <v>135000</v>
      </c>
      <c r="K21" s="5">
        <f t="shared" si="2"/>
        <v>135000</v>
      </c>
      <c r="L21" s="5">
        <f t="shared" si="2"/>
        <v>135000</v>
      </c>
    </row>
    <row r="22" spans="1:12" x14ac:dyDescent="0.2">
      <c r="A22" t="s">
        <v>106</v>
      </c>
      <c r="B22" t="s">
        <v>84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</row>
    <row r="23" spans="1:12" x14ac:dyDescent="0.2">
      <c r="A23" t="s">
        <v>107</v>
      </c>
      <c r="B23" t="s">
        <v>108</v>
      </c>
      <c r="C23" s="5">
        <v>1896</v>
      </c>
      <c r="D23" s="5">
        <v>1953</v>
      </c>
      <c r="E23" s="5">
        <v>2012</v>
      </c>
      <c r="F23" s="5">
        <v>2073</v>
      </c>
      <c r="G23" s="5">
        <v>2136</v>
      </c>
      <c r="H23" s="5">
        <v>2201</v>
      </c>
      <c r="I23" s="5">
        <v>2268</v>
      </c>
      <c r="J23" s="5">
        <v>2337</v>
      </c>
      <c r="K23" s="5">
        <v>2408</v>
      </c>
      <c r="L23" s="5">
        <v>2481</v>
      </c>
    </row>
    <row r="24" spans="1:12" x14ac:dyDescent="0.2">
      <c r="A24" t="s">
        <v>109</v>
      </c>
      <c r="B24" t="s">
        <v>108</v>
      </c>
      <c r="C24" s="5">
        <v>21005</v>
      </c>
      <c r="D24" s="5">
        <v>21636</v>
      </c>
      <c r="E24" s="5">
        <v>22286</v>
      </c>
      <c r="F24" s="5">
        <v>22955</v>
      </c>
      <c r="G24" s="5">
        <v>23644</v>
      </c>
      <c r="H24" s="5">
        <v>24354</v>
      </c>
      <c r="I24" s="5">
        <v>25085</v>
      </c>
      <c r="J24" s="5">
        <v>25838</v>
      </c>
      <c r="K24" s="5">
        <v>26614</v>
      </c>
      <c r="L24" s="5">
        <v>27413</v>
      </c>
    </row>
    <row r="25" spans="1:12" x14ac:dyDescent="0.2">
      <c r="A25" t="s">
        <v>110</v>
      </c>
      <c r="B25" t="s">
        <v>108</v>
      </c>
      <c r="C25" s="5">
        <v>467</v>
      </c>
      <c r="D25" s="5">
        <v>482</v>
      </c>
      <c r="E25" s="5">
        <v>497</v>
      </c>
      <c r="F25" s="5">
        <v>512</v>
      </c>
      <c r="G25" s="5">
        <v>528</v>
      </c>
      <c r="H25" s="5">
        <v>544</v>
      </c>
      <c r="I25" s="5">
        <v>561</v>
      </c>
      <c r="J25" s="5">
        <v>578</v>
      </c>
      <c r="K25" s="5">
        <v>596</v>
      </c>
      <c r="L25" s="5">
        <v>614</v>
      </c>
    </row>
    <row r="26" spans="1:12" x14ac:dyDescent="0.2">
      <c r="A26" t="s">
        <v>111</v>
      </c>
      <c r="B26" t="s">
        <v>108</v>
      </c>
      <c r="C26" s="5">
        <v>41</v>
      </c>
      <c r="D26" s="5">
        <v>41</v>
      </c>
      <c r="E26" s="5">
        <v>41</v>
      </c>
      <c r="F26" s="5">
        <v>41</v>
      </c>
      <c r="G26" s="5">
        <v>41</v>
      </c>
      <c r="H26" s="5">
        <v>41</v>
      </c>
      <c r="I26" s="5">
        <v>41</v>
      </c>
      <c r="J26" s="5">
        <v>41</v>
      </c>
      <c r="K26" s="5">
        <v>41</v>
      </c>
      <c r="L26" s="5">
        <v>41</v>
      </c>
    </row>
    <row r="27" spans="1:12" x14ac:dyDescent="0.2">
      <c r="A27" t="s">
        <v>112</v>
      </c>
      <c r="B27" t="s">
        <v>93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</row>
    <row r="29" spans="1:12" x14ac:dyDescent="0.2">
      <c r="A29" s="3" t="s">
        <v>113</v>
      </c>
    </row>
    <row r="30" spans="1:12" ht="16" x14ac:dyDescent="0.2">
      <c r="A30" s="2" t="s">
        <v>114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</row>
    <row r="31" spans="1:12" x14ac:dyDescent="0.2">
      <c r="A31" t="s">
        <v>115</v>
      </c>
      <c r="B31" t="s">
        <v>90</v>
      </c>
      <c r="C31" s="6">
        <f t="shared" ref="C31:L31" si="3">4.5/57000*C16*C15</f>
        <v>16.578947368421051</v>
      </c>
      <c r="D31" s="6">
        <f t="shared" si="3"/>
        <v>16.578947368421051</v>
      </c>
      <c r="E31" s="6">
        <f t="shared" si="3"/>
        <v>16.578947368421051</v>
      </c>
      <c r="F31" s="6">
        <f t="shared" si="3"/>
        <v>16.578947368421051</v>
      </c>
      <c r="G31" s="6">
        <f t="shared" si="3"/>
        <v>16.578947368421051</v>
      </c>
      <c r="H31" s="6">
        <f t="shared" si="3"/>
        <v>16.578947368421051</v>
      </c>
      <c r="I31" s="6">
        <f t="shared" si="3"/>
        <v>16.578947368421051</v>
      </c>
      <c r="J31" s="6">
        <f t="shared" si="3"/>
        <v>16.578947368421051</v>
      </c>
      <c r="K31" s="6">
        <f t="shared" si="3"/>
        <v>16.578947368421051</v>
      </c>
      <c r="L31" s="6">
        <f t="shared" si="3"/>
        <v>16.578947368421051</v>
      </c>
    </row>
    <row r="32" spans="1:12" x14ac:dyDescent="0.2">
      <c r="A32" t="s">
        <v>116</v>
      </c>
      <c r="B32" t="s">
        <v>90</v>
      </c>
      <c r="C32" s="6">
        <v>1680</v>
      </c>
      <c r="D32" s="6">
        <v>3360</v>
      </c>
      <c r="E32" s="6">
        <v>3360</v>
      </c>
      <c r="F32" s="6">
        <v>3360</v>
      </c>
      <c r="G32" s="6">
        <v>3360</v>
      </c>
      <c r="H32" s="6">
        <v>3360</v>
      </c>
      <c r="I32" s="6">
        <v>3360</v>
      </c>
      <c r="J32" s="6">
        <v>3360</v>
      </c>
      <c r="K32" s="6">
        <v>3360</v>
      </c>
      <c r="L32" s="6">
        <v>3360</v>
      </c>
    </row>
    <row r="33" spans="1:12" x14ac:dyDescent="0.2">
      <c r="A33" t="s">
        <v>117</v>
      </c>
      <c r="B33" t="s">
        <v>90</v>
      </c>
      <c r="C33" s="6">
        <v>180</v>
      </c>
      <c r="D33" s="6">
        <v>180</v>
      </c>
      <c r="E33" s="6">
        <v>180</v>
      </c>
      <c r="F33" s="6">
        <v>180</v>
      </c>
      <c r="G33" s="6">
        <v>180</v>
      </c>
      <c r="H33" s="6">
        <v>180</v>
      </c>
      <c r="I33" s="6">
        <v>180</v>
      </c>
      <c r="J33" s="6">
        <v>180</v>
      </c>
      <c r="K33" s="6">
        <v>180</v>
      </c>
      <c r="L33" s="6">
        <v>180</v>
      </c>
    </row>
    <row r="35" spans="1:12" x14ac:dyDescent="0.2">
      <c r="A35" t="s">
        <v>118</v>
      </c>
      <c r="B35" t="s">
        <v>90</v>
      </c>
      <c r="C35" s="6">
        <f t="shared" ref="C35:L35" si="4">(C19+C20)*C11*C12+C21*C11*C14</f>
        <v>1319.3930767680001</v>
      </c>
      <c r="D35" s="6">
        <f t="shared" si="4"/>
        <v>1319.3930767680001</v>
      </c>
      <c r="E35" s="6">
        <f t="shared" si="4"/>
        <v>1319.3930767680001</v>
      </c>
      <c r="F35" s="6">
        <f t="shared" si="4"/>
        <v>1319.3930767680001</v>
      </c>
      <c r="G35" s="6">
        <f t="shared" si="4"/>
        <v>1319.3930767680001</v>
      </c>
      <c r="H35" s="6">
        <f t="shared" si="4"/>
        <v>1319.3930767680001</v>
      </c>
      <c r="I35" s="6">
        <f t="shared" si="4"/>
        <v>1319.3930767680001</v>
      </c>
      <c r="J35" s="6">
        <f t="shared" si="4"/>
        <v>1319.3930767680001</v>
      </c>
      <c r="K35" s="6">
        <f t="shared" si="4"/>
        <v>1319.3930767680001</v>
      </c>
      <c r="L35" s="6">
        <f t="shared" si="4"/>
        <v>1319.3930767680001</v>
      </c>
    </row>
    <row r="36" spans="1:12" x14ac:dyDescent="0.2">
      <c r="A36" t="s">
        <v>119</v>
      </c>
      <c r="B36" t="s">
        <v>90</v>
      </c>
      <c r="C36" s="6">
        <v>2700</v>
      </c>
      <c r="D36" s="6">
        <v>2700</v>
      </c>
      <c r="E36" s="6">
        <v>2700</v>
      </c>
      <c r="F36" s="6">
        <v>2700</v>
      </c>
      <c r="G36" s="6">
        <v>2700</v>
      </c>
      <c r="H36" s="6">
        <v>2700</v>
      </c>
      <c r="I36" s="6">
        <v>2700</v>
      </c>
      <c r="J36" s="6">
        <v>2700</v>
      </c>
      <c r="K36" s="6">
        <v>2700</v>
      </c>
      <c r="L36" s="6">
        <v>2700</v>
      </c>
    </row>
    <row r="38" spans="1:12" x14ac:dyDescent="0.2">
      <c r="A38" t="s">
        <v>120</v>
      </c>
      <c r="B38" t="s">
        <v>90</v>
      </c>
      <c r="C38" s="6">
        <f t="shared" ref="C38:L38" si="5">0.01906*C19/C17</f>
        <v>4002.6</v>
      </c>
      <c r="D38" s="6">
        <f t="shared" si="5"/>
        <v>4002.6</v>
      </c>
      <c r="E38" s="6">
        <f t="shared" si="5"/>
        <v>4002.6</v>
      </c>
      <c r="F38" s="6">
        <f t="shared" si="5"/>
        <v>4002.6</v>
      </c>
      <c r="G38" s="6">
        <f t="shared" si="5"/>
        <v>4002.6</v>
      </c>
      <c r="H38" s="6">
        <f t="shared" si="5"/>
        <v>4002.6</v>
      </c>
      <c r="I38" s="6">
        <f t="shared" si="5"/>
        <v>4002.6</v>
      </c>
      <c r="J38" s="6">
        <f t="shared" si="5"/>
        <v>4002.6</v>
      </c>
      <c r="K38" s="6">
        <f t="shared" si="5"/>
        <v>4002.6</v>
      </c>
      <c r="L38" s="6">
        <f t="shared" si="5"/>
        <v>4002.6</v>
      </c>
    </row>
    <row r="39" spans="1:12" x14ac:dyDescent="0.2">
      <c r="A39" t="s">
        <v>121</v>
      </c>
      <c r="B39" t="s">
        <v>90</v>
      </c>
      <c r="C39" s="6">
        <f t="shared" ref="C39:L39" si="6">0.00618*C19/C17</f>
        <v>1297.8</v>
      </c>
      <c r="D39" s="6">
        <f t="shared" si="6"/>
        <v>1297.8</v>
      </c>
      <c r="E39" s="6">
        <f t="shared" si="6"/>
        <v>1297.8</v>
      </c>
      <c r="F39" s="6">
        <f t="shared" si="6"/>
        <v>1297.8</v>
      </c>
      <c r="G39" s="6">
        <f t="shared" si="6"/>
        <v>1297.8</v>
      </c>
      <c r="H39" s="6">
        <f t="shared" si="6"/>
        <v>1297.8</v>
      </c>
      <c r="I39" s="6">
        <f t="shared" si="6"/>
        <v>1297.8</v>
      </c>
      <c r="J39" s="6">
        <f t="shared" si="6"/>
        <v>1297.8</v>
      </c>
      <c r="K39" s="6">
        <f t="shared" si="6"/>
        <v>1297.8</v>
      </c>
      <c r="L39" s="6">
        <f t="shared" si="6"/>
        <v>1297.8</v>
      </c>
    </row>
    <row r="40" spans="1:12" x14ac:dyDescent="0.2">
      <c r="A40" t="s">
        <v>122</v>
      </c>
      <c r="B40" t="s">
        <v>90</v>
      </c>
      <c r="C40" s="6">
        <v>5</v>
      </c>
      <c r="D40" s="6">
        <v>5</v>
      </c>
      <c r="E40" s="6">
        <v>5</v>
      </c>
      <c r="F40" s="6">
        <v>5</v>
      </c>
      <c r="G40" s="6">
        <v>5</v>
      </c>
      <c r="H40" s="6">
        <v>5</v>
      </c>
      <c r="I40" s="6">
        <v>5</v>
      </c>
      <c r="J40" s="6">
        <v>5</v>
      </c>
      <c r="K40" s="6">
        <v>5</v>
      </c>
      <c r="L40" s="6">
        <v>5</v>
      </c>
    </row>
    <row r="41" spans="1:12" x14ac:dyDescent="0.2">
      <c r="A41" t="s">
        <v>123</v>
      </c>
      <c r="B41" t="s">
        <v>90</v>
      </c>
      <c r="C41" s="6">
        <f t="shared" ref="C41:L41" si="7">0.1*C38</f>
        <v>400.26</v>
      </c>
      <c r="D41" s="6">
        <f t="shared" si="7"/>
        <v>400.26</v>
      </c>
      <c r="E41" s="6">
        <f t="shared" si="7"/>
        <v>400.26</v>
      </c>
      <c r="F41" s="6">
        <f t="shared" si="7"/>
        <v>400.26</v>
      </c>
      <c r="G41" s="6">
        <f t="shared" si="7"/>
        <v>400.26</v>
      </c>
      <c r="H41" s="6">
        <f t="shared" si="7"/>
        <v>400.26</v>
      </c>
      <c r="I41" s="6">
        <f t="shared" si="7"/>
        <v>400.26</v>
      </c>
      <c r="J41" s="6">
        <f t="shared" si="7"/>
        <v>400.26</v>
      </c>
      <c r="K41" s="6">
        <f t="shared" si="7"/>
        <v>400.26</v>
      </c>
      <c r="L41" s="6">
        <f t="shared" si="7"/>
        <v>400.26</v>
      </c>
    </row>
    <row r="42" spans="1:12" x14ac:dyDescent="0.2">
      <c r="A42" t="s">
        <v>124</v>
      </c>
      <c r="B42" t="s">
        <v>90</v>
      </c>
      <c r="C42" s="6">
        <f t="shared" ref="C42:L42" si="8">C4*C23*C27/1000000000000</f>
        <v>156.41999999999999</v>
      </c>
      <c r="D42" s="6">
        <f t="shared" si="8"/>
        <v>190.41749999999999</v>
      </c>
      <c r="E42" s="6">
        <f t="shared" si="8"/>
        <v>215.48519999999999</v>
      </c>
      <c r="F42" s="6">
        <f t="shared" si="8"/>
        <v>237.5658</v>
      </c>
      <c r="G42" s="6">
        <f t="shared" si="8"/>
        <v>258.24239999999998</v>
      </c>
      <c r="H42" s="6">
        <f t="shared" si="8"/>
        <v>278.64659999999998</v>
      </c>
      <c r="I42" s="6">
        <f t="shared" si="8"/>
        <v>298.01519999999999</v>
      </c>
      <c r="J42" s="6">
        <f t="shared" si="8"/>
        <v>317.59829999999999</v>
      </c>
      <c r="K42" s="6">
        <f t="shared" si="8"/>
        <v>335.1936</v>
      </c>
      <c r="L42" s="6">
        <f t="shared" si="8"/>
        <v>352.79820000000001</v>
      </c>
    </row>
    <row r="43" spans="1:12" x14ac:dyDescent="0.2">
      <c r="A43" t="s">
        <v>125</v>
      </c>
      <c r="B43" t="s">
        <v>90</v>
      </c>
      <c r="C43" s="6">
        <f t="shared" ref="C43:L43" si="9">(C4*(C23+C24)+C5*C25+C6*C26)*C27/1000000000000</f>
        <v>3509.5635000000002</v>
      </c>
      <c r="D43" s="6">
        <f t="shared" si="9"/>
        <v>5747.7375000000002</v>
      </c>
      <c r="E43" s="6">
        <f t="shared" si="9"/>
        <v>8017.9157999999998</v>
      </c>
      <c r="F43" s="6">
        <f t="shared" si="9"/>
        <v>10378.1088</v>
      </c>
      <c r="G43" s="6">
        <f t="shared" si="9"/>
        <v>12880.541999999999</v>
      </c>
      <c r="H43" s="6">
        <f t="shared" si="9"/>
        <v>15475.083000000001</v>
      </c>
      <c r="I43" s="6">
        <f t="shared" si="9"/>
        <v>18199.1142</v>
      </c>
      <c r="J43" s="6">
        <f t="shared" si="9"/>
        <v>21042.022499999999</v>
      </c>
      <c r="K43" s="6">
        <f t="shared" si="9"/>
        <v>23964.842400000001</v>
      </c>
      <c r="L43" s="6">
        <f t="shared" si="9"/>
        <v>27009.646799999999</v>
      </c>
    </row>
    <row r="44" spans="1:12" x14ac:dyDescent="0.2">
      <c r="A44" t="s">
        <v>126</v>
      </c>
      <c r="B44" t="s">
        <v>90</v>
      </c>
      <c r="C44" s="6">
        <f t="shared" ref="C44:L44" si="10">C8*C9</f>
        <v>2000</v>
      </c>
      <c r="D44" s="6">
        <f t="shared" si="10"/>
        <v>3000</v>
      </c>
      <c r="E44" s="6">
        <f t="shared" si="10"/>
        <v>4200</v>
      </c>
      <c r="F44" s="6">
        <f t="shared" si="10"/>
        <v>5250</v>
      </c>
      <c r="G44" s="6">
        <f t="shared" si="10"/>
        <v>6000</v>
      </c>
      <c r="H44" s="6">
        <f t="shared" si="10"/>
        <v>6750</v>
      </c>
      <c r="I44" s="6">
        <f t="shared" si="10"/>
        <v>7500</v>
      </c>
      <c r="J44" s="6">
        <f t="shared" si="10"/>
        <v>8250</v>
      </c>
      <c r="K44" s="6">
        <f t="shared" si="10"/>
        <v>9000</v>
      </c>
      <c r="L44" s="6">
        <f t="shared" si="10"/>
        <v>9750</v>
      </c>
    </row>
    <row r="45" spans="1:12" x14ac:dyDescent="0.2">
      <c r="A45" t="s">
        <v>127</v>
      </c>
      <c r="B45" t="s">
        <v>90</v>
      </c>
      <c r="C45" s="6">
        <f t="shared" ref="C45:L45" si="11">0.2*SUM(C31:C44)</f>
        <v>3453.5231048272844</v>
      </c>
      <c r="D45" s="6">
        <f t="shared" si="11"/>
        <v>4443.9574048272843</v>
      </c>
      <c r="E45" s="6">
        <f t="shared" si="11"/>
        <v>5143.0066048272847</v>
      </c>
      <c r="F45" s="6">
        <f t="shared" si="11"/>
        <v>5829.4613248272844</v>
      </c>
      <c r="G45" s="6">
        <f t="shared" si="11"/>
        <v>6484.0832848272839</v>
      </c>
      <c r="H45" s="6">
        <f t="shared" si="11"/>
        <v>7157.0723248272843</v>
      </c>
      <c r="I45" s="6">
        <f t="shared" si="11"/>
        <v>7855.7522848272847</v>
      </c>
      <c r="J45" s="6">
        <f t="shared" si="11"/>
        <v>8578.2505648272836</v>
      </c>
      <c r="K45" s="6">
        <f t="shared" si="11"/>
        <v>9316.3336048272849</v>
      </c>
      <c r="L45" s="6">
        <f t="shared" si="11"/>
        <v>10078.815404827285</v>
      </c>
    </row>
    <row r="47" spans="1:12" x14ac:dyDescent="0.2">
      <c r="A47" s="3" t="s">
        <v>128</v>
      </c>
    </row>
    <row r="48" spans="1:12" ht="16" x14ac:dyDescent="0.2">
      <c r="A48" s="2" t="s">
        <v>129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</row>
    <row r="49" spans="1:12" x14ac:dyDescent="0.2">
      <c r="A49" t="s">
        <v>130</v>
      </c>
      <c r="B49" t="s">
        <v>90</v>
      </c>
      <c r="C49" s="6">
        <f t="shared" ref="C49:L49" si="12">C31</f>
        <v>16.578947368421051</v>
      </c>
      <c r="D49" s="6">
        <f t="shared" si="12"/>
        <v>16.578947368421051</v>
      </c>
      <c r="E49" s="6">
        <f t="shared" si="12"/>
        <v>16.578947368421051</v>
      </c>
      <c r="F49" s="6">
        <f t="shared" si="12"/>
        <v>16.578947368421051</v>
      </c>
      <c r="G49" s="6">
        <f t="shared" si="12"/>
        <v>16.578947368421051</v>
      </c>
      <c r="H49" s="6">
        <f t="shared" si="12"/>
        <v>16.578947368421051</v>
      </c>
      <c r="I49" s="6">
        <f t="shared" si="12"/>
        <v>16.578947368421051</v>
      </c>
      <c r="J49" s="6">
        <f t="shared" si="12"/>
        <v>16.578947368421051</v>
      </c>
      <c r="K49" s="6">
        <f t="shared" si="12"/>
        <v>16.578947368421051</v>
      </c>
      <c r="L49" s="6">
        <f t="shared" si="12"/>
        <v>16.578947368421051</v>
      </c>
    </row>
    <row r="50" spans="1:12" x14ac:dyDescent="0.2">
      <c r="A50" t="s">
        <v>131</v>
      </c>
      <c r="B50" t="s">
        <v>90</v>
      </c>
      <c r="C50" s="6">
        <f>C42</f>
        <v>156.41999999999999</v>
      </c>
      <c r="D50" s="6">
        <f>C42+D42</f>
        <v>346.83749999999998</v>
      </c>
      <c r="E50" s="6">
        <f t="shared" ref="E50:L50" si="13">C42+D42+E42</f>
        <v>562.32269999999994</v>
      </c>
      <c r="F50" s="6">
        <f t="shared" si="13"/>
        <v>643.46849999999995</v>
      </c>
      <c r="G50" s="6">
        <f t="shared" si="13"/>
        <v>711.29340000000002</v>
      </c>
      <c r="H50" s="6">
        <f t="shared" si="13"/>
        <v>774.45479999999998</v>
      </c>
      <c r="I50" s="6">
        <f t="shared" si="13"/>
        <v>834.90419999999995</v>
      </c>
      <c r="J50" s="6">
        <f t="shared" si="13"/>
        <v>894.26009999999997</v>
      </c>
      <c r="K50" s="6">
        <f t="shared" si="13"/>
        <v>950.80709999999999</v>
      </c>
      <c r="L50" s="6">
        <f t="shared" si="13"/>
        <v>1005.5900999999999</v>
      </c>
    </row>
    <row r="51" spans="1:12" x14ac:dyDescent="0.2">
      <c r="A51" t="s">
        <v>132</v>
      </c>
      <c r="B51" t="s">
        <v>90</v>
      </c>
      <c r="C51" s="6">
        <f t="shared" ref="C51:L51" si="14">SUM(C49:C50)+C33</f>
        <v>352.998947368421</v>
      </c>
      <c r="D51" s="6">
        <f t="shared" si="14"/>
        <v>543.41644736842102</v>
      </c>
      <c r="E51" s="6">
        <f t="shared" si="14"/>
        <v>758.90164736842098</v>
      </c>
      <c r="F51" s="6">
        <f t="shared" si="14"/>
        <v>840.04744736842099</v>
      </c>
      <c r="G51" s="6">
        <f t="shared" si="14"/>
        <v>907.87234736842106</v>
      </c>
      <c r="H51" s="6">
        <f t="shared" si="14"/>
        <v>971.03374736842102</v>
      </c>
      <c r="I51" s="6">
        <f t="shared" si="14"/>
        <v>1031.483147368421</v>
      </c>
      <c r="J51" s="6">
        <f t="shared" si="14"/>
        <v>1090.839047368421</v>
      </c>
      <c r="K51" s="6">
        <f t="shared" si="14"/>
        <v>1147.386047368421</v>
      </c>
      <c r="L51" s="6">
        <f t="shared" si="14"/>
        <v>1202.1690473684209</v>
      </c>
    </row>
    <row r="53" spans="1:12" x14ac:dyDescent="0.2">
      <c r="A53" t="s">
        <v>133</v>
      </c>
      <c r="B53" t="s">
        <v>90</v>
      </c>
      <c r="C53" s="6">
        <f t="shared" ref="C53:L53" si="15">SUM(C38:C45)</f>
        <v>14825.166604827285</v>
      </c>
      <c r="D53" s="6">
        <f t="shared" si="15"/>
        <v>19087.772404827283</v>
      </c>
      <c r="E53" s="6">
        <f t="shared" si="15"/>
        <v>23282.067604827287</v>
      </c>
      <c r="F53" s="6">
        <f t="shared" si="15"/>
        <v>27400.795924827285</v>
      </c>
      <c r="G53" s="6">
        <f t="shared" si="15"/>
        <v>31328.527684827284</v>
      </c>
      <c r="H53" s="6">
        <f t="shared" si="15"/>
        <v>35366.461924827287</v>
      </c>
      <c r="I53" s="6">
        <f t="shared" si="15"/>
        <v>39558.541684827287</v>
      </c>
      <c r="J53" s="6">
        <f t="shared" si="15"/>
        <v>43893.531364827286</v>
      </c>
      <c r="K53" s="6">
        <f t="shared" si="15"/>
        <v>48322.029604827279</v>
      </c>
      <c r="L53" s="6">
        <f t="shared" si="15"/>
        <v>52896.92040482728</v>
      </c>
    </row>
    <row r="55" spans="1:12" x14ac:dyDescent="0.2">
      <c r="A55" t="s">
        <v>134</v>
      </c>
      <c r="B55" t="s">
        <v>90</v>
      </c>
      <c r="C55" s="6">
        <f>C43</f>
        <v>3509.5635000000002</v>
      </c>
      <c r="D55" s="6">
        <f>C43+D43</f>
        <v>9257.3009999999995</v>
      </c>
      <c r="E55" s="6">
        <f t="shared" ref="E55:L55" si="16">C43+D43+E43</f>
        <v>17275.216799999998</v>
      </c>
      <c r="F55" s="6">
        <f t="shared" si="16"/>
        <v>24143.7621</v>
      </c>
      <c r="G55" s="6">
        <f t="shared" si="16"/>
        <v>31276.566599999998</v>
      </c>
      <c r="H55" s="6">
        <f t="shared" si="16"/>
        <v>38733.733800000002</v>
      </c>
      <c r="I55" s="6">
        <f t="shared" si="16"/>
        <v>46554.739199999996</v>
      </c>
      <c r="J55" s="6">
        <f t="shared" si="16"/>
        <v>54716.219700000001</v>
      </c>
      <c r="K55" s="6">
        <f t="shared" si="16"/>
        <v>63205.979100000004</v>
      </c>
      <c r="L55" s="6">
        <f t="shared" si="16"/>
        <v>72016.511700000003</v>
      </c>
    </row>
    <row r="57" spans="1:12" x14ac:dyDescent="0.2">
      <c r="A57" t="s">
        <v>135</v>
      </c>
      <c r="B57" t="s">
        <v>90</v>
      </c>
      <c r="C57" s="6">
        <f>C35</f>
        <v>1319.3930767680001</v>
      </c>
      <c r="D57" s="6">
        <f t="shared" ref="D57:L57" si="17">D35+C57</f>
        <v>2638.7861535360003</v>
      </c>
      <c r="E57" s="6">
        <f t="shared" si="17"/>
        <v>3958.1792303040002</v>
      </c>
      <c r="F57" s="6">
        <f t="shared" si="17"/>
        <v>5277.5723070720005</v>
      </c>
      <c r="G57" s="6">
        <f t="shared" si="17"/>
        <v>6596.9653838400009</v>
      </c>
      <c r="H57" s="6">
        <f t="shared" si="17"/>
        <v>7916.3584606080012</v>
      </c>
      <c r="I57" s="6">
        <f t="shared" si="17"/>
        <v>9235.7515373760016</v>
      </c>
      <c r="J57" s="6">
        <f t="shared" si="17"/>
        <v>10555.144614144001</v>
      </c>
      <c r="K57" s="6">
        <f t="shared" si="17"/>
        <v>11874.537690912</v>
      </c>
      <c r="L57" s="6">
        <f t="shared" si="17"/>
        <v>13193.93076768</v>
      </c>
    </row>
    <row r="58" spans="1:12" x14ac:dyDescent="0.2">
      <c r="A58" t="s">
        <v>136</v>
      </c>
      <c r="B58" t="s">
        <v>90</v>
      </c>
      <c r="C58" s="6">
        <f>C38*C13</f>
        <v>1080.702</v>
      </c>
      <c r="D58" s="6">
        <f t="shared" ref="D58:L58" si="18">(D38+C38)*D13</f>
        <v>2161.404</v>
      </c>
      <c r="E58" s="6">
        <f t="shared" si="18"/>
        <v>2161.404</v>
      </c>
      <c r="F58" s="6">
        <f t="shared" si="18"/>
        <v>2161.404</v>
      </c>
      <c r="G58" s="6">
        <f t="shared" si="18"/>
        <v>2161.404</v>
      </c>
      <c r="H58" s="6">
        <f t="shared" si="18"/>
        <v>2161.404</v>
      </c>
      <c r="I58" s="6">
        <f t="shared" si="18"/>
        <v>2161.404</v>
      </c>
      <c r="J58" s="6">
        <f t="shared" si="18"/>
        <v>2161.404</v>
      </c>
      <c r="K58" s="6">
        <f t="shared" si="18"/>
        <v>2161.404</v>
      </c>
      <c r="L58" s="6">
        <f t="shared" si="18"/>
        <v>2161.404</v>
      </c>
    </row>
    <row r="59" spans="1:12" x14ac:dyDescent="0.2">
      <c r="A59" t="s">
        <v>137</v>
      </c>
      <c r="B59" t="s">
        <v>90</v>
      </c>
      <c r="C59" s="6">
        <f>C36</f>
        <v>2700</v>
      </c>
      <c r="D59" s="6">
        <f>C36+D36</f>
        <v>5400</v>
      </c>
      <c r="E59" s="6">
        <f t="shared" ref="E59:L59" si="19">C36+D36+E36</f>
        <v>8100</v>
      </c>
      <c r="F59" s="6">
        <f t="shared" si="19"/>
        <v>8100</v>
      </c>
      <c r="G59" s="6">
        <f t="shared" si="19"/>
        <v>8100</v>
      </c>
      <c r="H59" s="6">
        <f t="shared" si="19"/>
        <v>8100</v>
      </c>
      <c r="I59" s="6">
        <f t="shared" si="19"/>
        <v>8100</v>
      </c>
      <c r="J59" s="6">
        <f t="shared" si="19"/>
        <v>8100</v>
      </c>
      <c r="K59" s="6">
        <f t="shared" si="19"/>
        <v>8100</v>
      </c>
      <c r="L59" s="6">
        <f t="shared" si="19"/>
        <v>8100</v>
      </c>
    </row>
    <row r="60" spans="1:12" x14ac:dyDescent="0.2">
      <c r="A60" t="s">
        <v>138</v>
      </c>
      <c r="B60" t="s">
        <v>90</v>
      </c>
      <c r="C60" s="6">
        <f>C39</f>
        <v>1297.8</v>
      </c>
      <c r="D60" s="6">
        <f>C39+D39</f>
        <v>2595.6</v>
      </c>
      <c r="E60" s="6">
        <f t="shared" ref="E60:L60" si="20">C39+D39+E39</f>
        <v>3893.3999999999996</v>
      </c>
      <c r="F60" s="6">
        <f t="shared" si="20"/>
        <v>3893.3999999999996</v>
      </c>
      <c r="G60" s="6">
        <f t="shared" si="20"/>
        <v>3893.3999999999996</v>
      </c>
      <c r="H60" s="6">
        <f t="shared" si="20"/>
        <v>3893.3999999999996</v>
      </c>
      <c r="I60" s="6">
        <f t="shared" si="20"/>
        <v>3893.3999999999996</v>
      </c>
      <c r="J60" s="6">
        <f t="shared" si="20"/>
        <v>3893.3999999999996</v>
      </c>
      <c r="K60" s="6">
        <f t="shared" si="20"/>
        <v>3893.3999999999996</v>
      </c>
      <c r="L60" s="6">
        <f t="shared" si="20"/>
        <v>3893.3999999999996</v>
      </c>
    </row>
    <row r="61" spans="1:12" x14ac:dyDescent="0.2">
      <c r="A61" t="s">
        <v>139</v>
      </c>
      <c r="B61" t="s">
        <v>90</v>
      </c>
      <c r="C61" s="6">
        <f t="shared" ref="C61:L61" si="21">SUM(C57:C60)+C32</f>
        <v>8077.8950767680008</v>
      </c>
      <c r="D61" s="6">
        <f t="shared" si="21"/>
        <v>16155.790153536002</v>
      </c>
      <c r="E61" s="6">
        <f t="shared" si="21"/>
        <v>21472.983230304002</v>
      </c>
      <c r="F61" s="6">
        <f t="shared" si="21"/>
        <v>22792.376307072002</v>
      </c>
      <c r="G61" s="6">
        <f t="shared" si="21"/>
        <v>24111.769383840001</v>
      </c>
      <c r="H61" s="6">
        <f t="shared" si="21"/>
        <v>25431.162460608</v>
      </c>
      <c r="I61" s="6">
        <f t="shared" si="21"/>
        <v>26750.555537376</v>
      </c>
      <c r="J61" s="6">
        <f t="shared" si="21"/>
        <v>28069.948614143999</v>
      </c>
      <c r="K61" s="6">
        <f t="shared" si="21"/>
        <v>29389.341690911999</v>
      </c>
      <c r="L61" s="6">
        <f t="shared" si="21"/>
        <v>30708.734767679998</v>
      </c>
    </row>
    <row r="63" spans="1:12" x14ac:dyDescent="0.2">
      <c r="A63" t="s">
        <v>140</v>
      </c>
      <c r="B63" t="s">
        <v>90</v>
      </c>
      <c r="C63" s="6">
        <f t="shared" ref="C63:L63" si="22">C57</f>
        <v>1319.3930767680001</v>
      </c>
      <c r="D63" s="6">
        <f t="shared" si="22"/>
        <v>2638.7861535360003</v>
      </c>
      <c r="E63" s="6">
        <f t="shared" si="22"/>
        <v>3958.1792303040002</v>
      </c>
      <c r="F63" s="6">
        <f t="shared" si="22"/>
        <v>5277.5723070720005</v>
      </c>
      <c r="G63" s="6">
        <f t="shared" si="22"/>
        <v>6596.9653838400009</v>
      </c>
      <c r="H63" s="6">
        <f t="shared" si="22"/>
        <v>7916.3584606080012</v>
      </c>
      <c r="I63" s="6">
        <f t="shared" si="22"/>
        <v>9235.7515373760016</v>
      </c>
      <c r="J63" s="6">
        <f t="shared" si="22"/>
        <v>10555.144614144001</v>
      </c>
      <c r="K63" s="6">
        <f t="shared" si="22"/>
        <v>11874.537690912</v>
      </c>
      <c r="L63" s="6">
        <f t="shared" si="22"/>
        <v>13193.93076768</v>
      </c>
    </row>
    <row r="64" spans="1:12" x14ac:dyDescent="0.2">
      <c r="A64" t="s">
        <v>141</v>
      </c>
      <c r="B64" t="s">
        <v>90</v>
      </c>
      <c r="C64" s="6">
        <f>C53-SUM(C41:C43)</f>
        <v>10758.923104827285</v>
      </c>
      <c r="D64" s="6">
        <f t="shared" ref="D64:L64" si="23">D53-SUM(D41:D43)+C64</f>
        <v>23508.280509654567</v>
      </c>
      <c r="E64" s="6">
        <f t="shared" si="23"/>
        <v>38156.687114481858</v>
      </c>
      <c r="F64" s="6">
        <f t="shared" si="23"/>
        <v>54541.548439309146</v>
      </c>
      <c r="G64" s="6">
        <f t="shared" si="23"/>
        <v>72331.031724136439</v>
      </c>
      <c r="H64" s="6">
        <f t="shared" si="23"/>
        <v>91543.504048963718</v>
      </c>
      <c r="I64" s="6">
        <f t="shared" si="23"/>
        <v>112204.656333791</v>
      </c>
      <c r="J64" s="6">
        <f t="shared" si="23"/>
        <v>134338.30689861829</v>
      </c>
      <c r="K64" s="6">
        <f t="shared" si="23"/>
        <v>157960.04050344558</v>
      </c>
      <c r="L64" s="6">
        <f t="shared" si="23"/>
        <v>183094.25590827287</v>
      </c>
    </row>
    <row r="65" spans="1:12" x14ac:dyDescent="0.2">
      <c r="A65" t="s">
        <v>142</v>
      </c>
      <c r="B65" t="s">
        <v>90</v>
      </c>
      <c r="C65" s="6">
        <f>C36</f>
        <v>2700</v>
      </c>
      <c r="D65" s="6">
        <f t="shared" ref="D65:L65" si="24">D36+C65</f>
        <v>5400</v>
      </c>
      <c r="E65" s="6">
        <f t="shared" si="24"/>
        <v>8100</v>
      </c>
      <c r="F65" s="6">
        <f t="shared" si="24"/>
        <v>10800</v>
      </c>
      <c r="G65" s="6">
        <f t="shared" si="24"/>
        <v>13500</v>
      </c>
      <c r="H65" s="6">
        <f t="shared" si="24"/>
        <v>16200</v>
      </c>
      <c r="I65" s="6">
        <f t="shared" si="24"/>
        <v>18900</v>
      </c>
      <c r="J65" s="6">
        <f t="shared" si="24"/>
        <v>21600</v>
      </c>
      <c r="K65" s="6">
        <f t="shared" si="24"/>
        <v>24300</v>
      </c>
      <c r="L65" s="6">
        <f t="shared" si="24"/>
        <v>27000</v>
      </c>
    </row>
    <row r="66" spans="1:12" x14ac:dyDescent="0.2">
      <c r="A66" t="s">
        <v>143</v>
      </c>
      <c r="B66" t="s">
        <v>90</v>
      </c>
      <c r="C66" s="6">
        <f t="shared" ref="C66:L66" si="25">SUM(C63:C65)</f>
        <v>14778.316181595284</v>
      </c>
      <c r="D66" s="6">
        <f t="shared" si="25"/>
        <v>31547.066663190566</v>
      </c>
      <c r="E66" s="6">
        <f t="shared" si="25"/>
        <v>50214.866344785856</v>
      </c>
      <c r="F66" s="6">
        <f t="shared" si="25"/>
        <v>70619.120746381144</v>
      </c>
      <c r="G66" s="6">
        <f t="shared" si="25"/>
        <v>92427.997107976436</v>
      </c>
      <c r="H66" s="6">
        <f t="shared" si="25"/>
        <v>115659.86250957171</v>
      </c>
      <c r="I66" s="6">
        <f t="shared" si="25"/>
        <v>140340.407871167</v>
      </c>
      <c r="J66" s="6">
        <f t="shared" si="25"/>
        <v>166493.45151276229</v>
      </c>
      <c r="K66" s="6">
        <f t="shared" si="25"/>
        <v>194134.57819435757</v>
      </c>
      <c r="L66" s="6">
        <f t="shared" si="25"/>
        <v>223288.18667595286</v>
      </c>
    </row>
    <row r="68" spans="1:12" x14ac:dyDescent="0.2">
      <c r="A68" s="3" t="s">
        <v>144</v>
      </c>
      <c r="B68" t="s">
        <v>90</v>
      </c>
      <c r="C68" s="6">
        <f t="shared" ref="C68:L68" si="26">C51+C53+C55+C61+C66</f>
        <v>41543.940310558988</v>
      </c>
      <c r="D68" s="6">
        <f t="shared" si="26"/>
        <v>76591.34666892227</v>
      </c>
      <c r="E68" s="6">
        <f t="shared" si="26"/>
        <v>113004.03562728557</v>
      </c>
      <c r="F68" s="6">
        <f t="shared" si="26"/>
        <v>145796.10252564884</v>
      </c>
      <c r="G68" s="6">
        <f t="shared" si="26"/>
        <v>180052.73312401213</v>
      </c>
      <c r="H68" s="6">
        <f t="shared" si="26"/>
        <v>216162.25444237542</v>
      </c>
      <c r="I68" s="6">
        <f t="shared" si="26"/>
        <v>254235.7274407387</v>
      </c>
      <c r="J68" s="6">
        <f t="shared" si="26"/>
        <v>294263.99023910199</v>
      </c>
      <c r="K68" s="6">
        <f t="shared" si="26"/>
        <v>336199.31463746529</v>
      </c>
      <c r="L68" s="6">
        <f t="shared" si="26"/>
        <v>380112.52259582857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L99"/>
  <sheetViews>
    <sheetView workbookViewId="0"/>
  </sheetViews>
  <sheetFormatPr baseColWidth="10" defaultColWidth="8.83203125" defaultRowHeight="15" x14ac:dyDescent="0.2"/>
  <cols>
    <col min="1" max="1" width="40" customWidth="1"/>
    <col min="2" max="2" width="14" customWidth="1"/>
    <col min="3" max="12" width="18" customWidth="1"/>
  </cols>
  <sheetData>
    <row r="1" spans="1:12" ht="17" x14ac:dyDescent="0.2">
      <c r="A1" s="4" t="s">
        <v>145</v>
      </c>
    </row>
    <row r="2" spans="1:12" ht="16" x14ac:dyDescent="0.2">
      <c r="A2" s="2" t="s">
        <v>146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</row>
    <row r="3" spans="1:12" x14ac:dyDescent="0.2">
      <c r="A3" t="s">
        <v>147</v>
      </c>
      <c r="B3" t="s">
        <v>148</v>
      </c>
      <c r="C3" s="5">
        <v>16420799</v>
      </c>
      <c r="D3" s="5">
        <v>32841598</v>
      </c>
      <c r="E3" s="5">
        <v>49262397</v>
      </c>
      <c r="F3" s="5">
        <v>65683196</v>
      </c>
      <c r="G3" s="5">
        <v>82103995</v>
      </c>
      <c r="H3" s="5">
        <v>98524794</v>
      </c>
      <c r="I3" s="5">
        <v>114945593</v>
      </c>
      <c r="J3" s="5">
        <v>131366392</v>
      </c>
      <c r="K3" s="5">
        <v>147787191</v>
      </c>
      <c r="L3" s="5">
        <v>164207990</v>
      </c>
    </row>
    <row r="4" spans="1:12" x14ac:dyDescent="0.2">
      <c r="A4" t="s">
        <v>149</v>
      </c>
      <c r="B4" t="s">
        <v>150</v>
      </c>
      <c r="C4" s="5">
        <f t="shared" ref="C4:L4" si="0">C3/4800</f>
        <v>3420.9997916666666</v>
      </c>
      <c r="D4" s="5">
        <f t="shared" si="0"/>
        <v>6841.9995833333332</v>
      </c>
      <c r="E4" s="5">
        <f t="shared" si="0"/>
        <v>10262.999374999999</v>
      </c>
      <c r="F4" s="5">
        <f t="shared" si="0"/>
        <v>13683.999166666666</v>
      </c>
      <c r="G4" s="5">
        <f t="shared" si="0"/>
        <v>17104.998958333334</v>
      </c>
      <c r="H4" s="5">
        <f t="shared" si="0"/>
        <v>20525.998749999999</v>
      </c>
      <c r="I4" s="5">
        <f t="shared" si="0"/>
        <v>23946.998541666668</v>
      </c>
      <c r="J4" s="5">
        <f t="shared" si="0"/>
        <v>27367.998333333333</v>
      </c>
      <c r="K4" s="5">
        <f t="shared" si="0"/>
        <v>30788.998124999998</v>
      </c>
      <c r="L4" s="5">
        <f t="shared" si="0"/>
        <v>34209.997916666667</v>
      </c>
    </row>
    <row r="5" spans="1:12" x14ac:dyDescent="0.2">
      <c r="A5" t="s">
        <v>151</v>
      </c>
      <c r="B5" t="s">
        <v>150</v>
      </c>
      <c r="C5" s="5">
        <f>C4</f>
        <v>3420.9997916666666</v>
      </c>
      <c r="D5" s="5">
        <f t="shared" ref="D5:L5" si="1">D4-C4</f>
        <v>3420.9997916666666</v>
      </c>
      <c r="E5" s="5">
        <f t="shared" si="1"/>
        <v>3420.9997916666662</v>
      </c>
      <c r="F5" s="5">
        <f t="shared" si="1"/>
        <v>3420.9997916666671</v>
      </c>
      <c r="G5" s="5">
        <f t="shared" si="1"/>
        <v>3420.9997916666671</v>
      </c>
      <c r="H5" s="5">
        <f t="shared" si="1"/>
        <v>3420.9997916666653</v>
      </c>
      <c r="I5" s="5">
        <f t="shared" si="1"/>
        <v>3420.9997916666689</v>
      </c>
      <c r="J5" s="5">
        <f t="shared" si="1"/>
        <v>3420.9997916666653</v>
      </c>
      <c r="K5" s="5">
        <f t="shared" si="1"/>
        <v>3420.9997916666653</v>
      </c>
      <c r="L5" s="5">
        <f t="shared" si="1"/>
        <v>3420.9997916666689</v>
      </c>
    </row>
    <row r="6" spans="1:12" x14ac:dyDescent="0.2">
      <c r="A6" t="s">
        <v>152</v>
      </c>
      <c r="B6" t="s">
        <v>150</v>
      </c>
      <c r="C6" s="5">
        <v>0</v>
      </c>
      <c r="D6" s="5">
        <v>0</v>
      </c>
      <c r="E6" s="5">
        <v>0</v>
      </c>
      <c r="F6" s="5">
        <f t="shared" ref="F6:L6" si="2">C5</f>
        <v>3420.9997916666666</v>
      </c>
      <c r="G6" s="5">
        <f t="shared" si="2"/>
        <v>3420.9997916666666</v>
      </c>
      <c r="H6" s="5">
        <f t="shared" si="2"/>
        <v>3420.9997916666662</v>
      </c>
      <c r="I6" s="5">
        <f t="shared" si="2"/>
        <v>3420.9997916666671</v>
      </c>
      <c r="J6" s="5">
        <f t="shared" si="2"/>
        <v>3420.9997916666671</v>
      </c>
      <c r="K6" s="5">
        <f t="shared" si="2"/>
        <v>3420.9997916666653</v>
      </c>
      <c r="L6" s="5">
        <f t="shared" si="2"/>
        <v>3420.9997916666689</v>
      </c>
    </row>
    <row r="7" spans="1:12" x14ac:dyDescent="0.2">
      <c r="A7" t="s">
        <v>153</v>
      </c>
      <c r="B7" t="s">
        <v>150</v>
      </c>
      <c r="C7" s="5">
        <f t="shared" ref="C7:L7" si="3">C5+C6</f>
        <v>3420.9997916666666</v>
      </c>
      <c r="D7" s="5">
        <f t="shared" si="3"/>
        <v>3420.9997916666666</v>
      </c>
      <c r="E7" s="5">
        <f t="shared" si="3"/>
        <v>3420.9997916666662</v>
      </c>
      <c r="F7" s="5">
        <f t="shared" si="3"/>
        <v>6841.9995833333342</v>
      </c>
      <c r="G7" s="5">
        <f t="shared" si="3"/>
        <v>6841.9995833333342</v>
      </c>
      <c r="H7" s="5">
        <f t="shared" si="3"/>
        <v>6841.9995833333314</v>
      </c>
      <c r="I7" s="5">
        <f t="shared" si="3"/>
        <v>6841.999583333336</v>
      </c>
      <c r="J7" s="5">
        <f t="shared" si="3"/>
        <v>6841.9995833333323</v>
      </c>
      <c r="K7" s="5">
        <f t="shared" si="3"/>
        <v>6841.9995833333305</v>
      </c>
      <c r="L7" s="5">
        <f t="shared" si="3"/>
        <v>6841.9995833333378</v>
      </c>
    </row>
    <row r="9" spans="1:12" x14ac:dyDescent="0.2">
      <c r="A9" t="s">
        <v>154</v>
      </c>
      <c r="B9" t="s">
        <v>150</v>
      </c>
      <c r="C9" s="5">
        <f t="shared" ref="C9:L9" si="4">$B$99</f>
        <v>1188</v>
      </c>
      <c r="D9" s="5">
        <f t="shared" si="4"/>
        <v>1188</v>
      </c>
      <c r="E9" s="5">
        <f t="shared" si="4"/>
        <v>1188</v>
      </c>
      <c r="F9" s="5">
        <f t="shared" si="4"/>
        <v>1188</v>
      </c>
      <c r="G9" s="5">
        <f t="shared" si="4"/>
        <v>1188</v>
      </c>
      <c r="H9" s="5">
        <f t="shared" si="4"/>
        <v>1188</v>
      </c>
      <c r="I9" s="5">
        <f t="shared" si="4"/>
        <v>1188</v>
      </c>
      <c r="J9" s="5">
        <f t="shared" si="4"/>
        <v>1188</v>
      </c>
      <c r="K9" s="5">
        <f t="shared" si="4"/>
        <v>1188</v>
      </c>
      <c r="L9" s="5">
        <f t="shared" si="4"/>
        <v>1188</v>
      </c>
    </row>
    <row r="10" spans="1:12" x14ac:dyDescent="0.2">
      <c r="A10" t="s">
        <v>155</v>
      </c>
      <c r="B10" t="s">
        <v>150</v>
      </c>
      <c r="C10" s="5">
        <f t="shared" ref="C10:L10" si="5">IF(COLUMN()=3,$B$99,0)</f>
        <v>1188</v>
      </c>
      <c r="D10" s="5">
        <f t="shared" si="5"/>
        <v>0</v>
      </c>
      <c r="E10" s="5">
        <f t="shared" si="5"/>
        <v>0</v>
      </c>
      <c r="F10" s="5">
        <f t="shared" si="5"/>
        <v>0</v>
      </c>
      <c r="G10" s="5">
        <f t="shared" si="5"/>
        <v>0</v>
      </c>
      <c r="H10" s="5">
        <f t="shared" si="5"/>
        <v>0</v>
      </c>
      <c r="I10" s="5">
        <f t="shared" si="5"/>
        <v>0</v>
      </c>
      <c r="J10" s="5">
        <f t="shared" si="5"/>
        <v>0</v>
      </c>
      <c r="K10" s="5">
        <f t="shared" si="5"/>
        <v>0</v>
      </c>
      <c r="L10" s="5">
        <f t="shared" si="5"/>
        <v>0</v>
      </c>
    </row>
    <row r="11" spans="1:12" x14ac:dyDescent="0.2">
      <c r="A11" t="s">
        <v>156</v>
      </c>
      <c r="B11" t="s">
        <v>150</v>
      </c>
      <c r="C11" s="5">
        <f t="shared" ref="C11:L11" si="6">IF(AND(COLUMN()&gt;=6,MOD(COLUMN()-3,3)=0),$B$99,0)</f>
        <v>0</v>
      </c>
      <c r="D11" s="5">
        <f t="shared" si="6"/>
        <v>0</v>
      </c>
      <c r="E11" s="5">
        <f t="shared" si="6"/>
        <v>0</v>
      </c>
      <c r="F11" s="5">
        <f t="shared" si="6"/>
        <v>1188</v>
      </c>
      <c r="G11" s="5">
        <f t="shared" si="6"/>
        <v>0</v>
      </c>
      <c r="H11" s="5">
        <f t="shared" si="6"/>
        <v>0</v>
      </c>
      <c r="I11" s="5">
        <f t="shared" si="6"/>
        <v>1188</v>
      </c>
      <c r="J11" s="5">
        <f t="shared" si="6"/>
        <v>0</v>
      </c>
      <c r="K11" s="5">
        <f t="shared" si="6"/>
        <v>0</v>
      </c>
      <c r="L11" s="5">
        <f t="shared" si="6"/>
        <v>1188</v>
      </c>
    </row>
    <row r="12" spans="1:12" x14ac:dyDescent="0.2">
      <c r="A12" t="s">
        <v>157</v>
      </c>
      <c r="B12" t="s">
        <v>150</v>
      </c>
      <c r="C12" s="5">
        <f t="shared" ref="C12:L12" si="7">C10+C11</f>
        <v>1188</v>
      </c>
      <c r="D12" s="5">
        <f t="shared" si="7"/>
        <v>0</v>
      </c>
      <c r="E12" s="5">
        <f t="shared" si="7"/>
        <v>0</v>
      </c>
      <c r="F12" s="5">
        <f t="shared" si="7"/>
        <v>1188</v>
      </c>
      <c r="G12" s="5">
        <f t="shared" si="7"/>
        <v>0</v>
      </c>
      <c r="H12" s="5">
        <f t="shared" si="7"/>
        <v>0</v>
      </c>
      <c r="I12" s="5">
        <f t="shared" si="7"/>
        <v>1188</v>
      </c>
      <c r="J12" s="5">
        <f t="shared" si="7"/>
        <v>0</v>
      </c>
      <c r="K12" s="5">
        <f t="shared" si="7"/>
        <v>0</v>
      </c>
      <c r="L12" s="5">
        <f t="shared" si="7"/>
        <v>1188</v>
      </c>
    </row>
    <row r="14" spans="1:12" x14ac:dyDescent="0.2">
      <c r="A14" t="s">
        <v>158</v>
      </c>
      <c r="B14" t="s">
        <v>150</v>
      </c>
      <c r="C14" s="5">
        <f t="shared" ref="C14:L14" si="8">0.1*C4</f>
        <v>342.09997916666669</v>
      </c>
      <c r="D14" s="5">
        <f t="shared" si="8"/>
        <v>684.19995833333337</v>
      </c>
      <c r="E14" s="5">
        <f t="shared" si="8"/>
        <v>1026.2999374999999</v>
      </c>
      <c r="F14" s="5">
        <f t="shared" si="8"/>
        <v>1368.3999166666667</v>
      </c>
      <c r="G14" s="5">
        <f t="shared" si="8"/>
        <v>1710.4998958333335</v>
      </c>
      <c r="H14" s="5">
        <f t="shared" si="8"/>
        <v>2052.5998749999999</v>
      </c>
      <c r="I14" s="5">
        <f t="shared" si="8"/>
        <v>2394.6998541666667</v>
      </c>
      <c r="J14" s="5">
        <f t="shared" si="8"/>
        <v>2736.7998333333335</v>
      </c>
      <c r="K14" s="5">
        <f t="shared" si="8"/>
        <v>3078.8998124999998</v>
      </c>
      <c r="L14" s="5">
        <f t="shared" si="8"/>
        <v>3420.9997916666671</v>
      </c>
    </row>
    <row r="15" spans="1:12" x14ac:dyDescent="0.2">
      <c r="A15" t="s">
        <v>159</v>
      </c>
      <c r="B15" t="s">
        <v>150</v>
      </c>
      <c r="C15" s="5">
        <f>C14</f>
        <v>342.09997916666669</v>
      </c>
      <c r="D15" s="5">
        <f t="shared" ref="D15:L15" si="9">D14-C14</f>
        <v>342.09997916666669</v>
      </c>
      <c r="E15" s="5">
        <f t="shared" si="9"/>
        <v>342.09997916666657</v>
      </c>
      <c r="F15" s="5">
        <f t="shared" si="9"/>
        <v>342.0999791666668</v>
      </c>
      <c r="G15" s="5">
        <f t="shared" si="9"/>
        <v>342.0999791666668</v>
      </c>
      <c r="H15" s="5">
        <f t="shared" si="9"/>
        <v>342.09997916666634</v>
      </c>
      <c r="I15" s="5">
        <f t="shared" si="9"/>
        <v>342.0999791666668</v>
      </c>
      <c r="J15" s="5">
        <f t="shared" si="9"/>
        <v>342.0999791666668</v>
      </c>
      <c r="K15" s="5">
        <f t="shared" si="9"/>
        <v>342.09997916666634</v>
      </c>
      <c r="L15" s="5">
        <f t="shared" si="9"/>
        <v>342.09997916666725</v>
      </c>
    </row>
    <row r="16" spans="1:12" x14ac:dyDescent="0.2">
      <c r="A16" t="s">
        <v>160</v>
      </c>
      <c r="B16" t="s">
        <v>150</v>
      </c>
      <c r="C16" s="5">
        <v>0</v>
      </c>
      <c r="D16" s="5">
        <v>0</v>
      </c>
      <c r="E16" s="5">
        <v>0</v>
      </c>
      <c r="F16" s="5">
        <f t="shared" ref="F16:L16" si="10">C15</f>
        <v>342.09997916666669</v>
      </c>
      <c r="G16" s="5">
        <f t="shared" si="10"/>
        <v>342.09997916666669</v>
      </c>
      <c r="H16" s="5">
        <f t="shared" si="10"/>
        <v>342.09997916666657</v>
      </c>
      <c r="I16" s="5">
        <f t="shared" si="10"/>
        <v>342.0999791666668</v>
      </c>
      <c r="J16" s="5">
        <f t="shared" si="10"/>
        <v>342.0999791666668</v>
      </c>
      <c r="K16" s="5">
        <f t="shared" si="10"/>
        <v>342.09997916666634</v>
      </c>
      <c r="L16" s="5">
        <f t="shared" si="10"/>
        <v>342.0999791666668</v>
      </c>
    </row>
    <row r="17" spans="1:12" x14ac:dyDescent="0.2">
      <c r="A17" t="s">
        <v>161</v>
      </c>
      <c r="B17" t="s">
        <v>150</v>
      </c>
      <c r="C17" s="5">
        <f t="shared" ref="C17:L17" si="11">C15+C16</f>
        <v>342.09997916666669</v>
      </c>
      <c r="D17" s="5">
        <f t="shared" si="11"/>
        <v>342.09997916666669</v>
      </c>
      <c r="E17" s="5">
        <f t="shared" si="11"/>
        <v>342.09997916666657</v>
      </c>
      <c r="F17" s="5">
        <f t="shared" si="11"/>
        <v>684.19995833333348</v>
      </c>
      <c r="G17" s="5">
        <f t="shared" si="11"/>
        <v>684.19995833333348</v>
      </c>
      <c r="H17" s="5">
        <f t="shared" si="11"/>
        <v>684.19995833333292</v>
      </c>
      <c r="I17" s="5">
        <f t="shared" si="11"/>
        <v>684.1999583333336</v>
      </c>
      <c r="J17" s="5">
        <f t="shared" si="11"/>
        <v>684.1999583333336</v>
      </c>
      <c r="K17" s="5">
        <f t="shared" si="11"/>
        <v>684.19995833333269</v>
      </c>
      <c r="L17" s="5">
        <f t="shared" si="11"/>
        <v>684.19995833333405</v>
      </c>
    </row>
    <row r="18" spans="1:12" x14ac:dyDescent="0.2">
      <c r="A18" t="s">
        <v>162</v>
      </c>
      <c r="B18" t="s">
        <v>150</v>
      </c>
      <c r="C18" s="5">
        <f t="shared" ref="C18:L18" si="12">0.1*C14</f>
        <v>34.209997916666673</v>
      </c>
      <c r="D18" s="5">
        <f t="shared" si="12"/>
        <v>68.419995833333346</v>
      </c>
      <c r="E18" s="5">
        <f t="shared" si="12"/>
        <v>102.62999375</v>
      </c>
      <c r="F18" s="5">
        <f t="shared" si="12"/>
        <v>136.83999166666669</v>
      </c>
      <c r="G18" s="5">
        <f t="shared" si="12"/>
        <v>171.04998958333337</v>
      </c>
      <c r="H18" s="5">
        <f t="shared" si="12"/>
        <v>205.25998749999999</v>
      </c>
      <c r="I18" s="5">
        <f t="shared" si="12"/>
        <v>239.46998541666667</v>
      </c>
      <c r="J18" s="5">
        <f t="shared" si="12"/>
        <v>273.67998333333338</v>
      </c>
      <c r="K18" s="5">
        <f t="shared" si="12"/>
        <v>307.88998125000001</v>
      </c>
      <c r="L18" s="5">
        <f t="shared" si="12"/>
        <v>342.09997916666674</v>
      </c>
    </row>
    <row r="19" spans="1:12" x14ac:dyDescent="0.2">
      <c r="A19" t="s">
        <v>163</v>
      </c>
      <c r="B19" t="s">
        <v>150</v>
      </c>
      <c r="C19" s="5">
        <f>C18</f>
        <v>34.209997916666673</v>
      </c>
      <c r="D19" s="5">
        <f t="shared" ref="D19:L19" si="13">D18-C18</f>
        <v>34.209997916666673</v>
      </c>
      <c r="E19" s="5">
        <f t="shared" si="13"/>
        <v>34.209997916666651</v>
      </c>
      <c r="F19" s="5">
        <f t="shared" si="13"/>
        <v>34.209997916666694</v>
      </c>
      <c r="G19" s="5">
        <f t="shared" si="13"/>
        <v>34.20999791666668</v>
      </c>
      <c r="H19" s="5">
        <f t="shared" si="13"/>
        <v>34.209997916666623</v>
      </c>
      <c r="I19" s="5">
        <f t="shared" si="13"/>
        <v>34.20999791666668</v>
      </c>
      <c r="J19" s="5">
        <f t="shared" si="13"/>
        <v>34.209997916666708</v>
      </c>
      <c r="K19" s="5">
        <f t="shared" si="13"/>
        <v>34.209997916666623</v>
      </c>
      <c r="L19" s="5">
        <f t="shared" si="13"/>
        <v>34.209997916666737</v>
      </c>
    </row>
    <row r="20" spans="1:12" x14ac:dyDescent="0.2">
      <c r="A20" t="s">
        <v>164</v>
      </c>
      <c r="B20" t="s">
        <v>150</v>
      </c>
      <c r="C20" s="5">
        <v>0</v>
      </c>
      <c r="D20" s="5">
        <v>0</v>
      </c>
      <c r="E20" s="5">
        <v>0</v>
      </c>
      <c r="F20" s="5">
        <f t="shared" ref="F20:L20" si="14">C19</f>
        <v>34.209997916666673</v>
      </c>
      <c r="G20" s="5">
        <f t="shared" si="14"/>
        <v>34.209997916666673</v>
      </c>
      <c r="H20" s="5">
        <f t="shared" si="14"/>
        <v>34.209997916666651</v>
      </c>
      <c r="I20" s="5">
        <f t="shared" si="14"/>
        <v>34.209997916666694</v>
      </c>
      <c r="J20" s="5">
        <f t="shared" si="14"/>
        <v>34.20999791666668</v>
      </c>
      <c r="K20" s="5">
        <f t="shared" si="14"/>
        <v>34.209997916666623</v>
      </c>
      <c r="L20" s="5">
        <f t="shared" si="14"/>
        <v>34.20999791666668</v>
      </c>
    </row>
    <row r="21" spans="1:12" x14ac:dyDescent="0.2">
      <c r="A21" t="s">
        <v>165</v>
      </c>
      <c r="B21" t="s">
        <v>150</v>
      </c>
      <c r="C21" s="5">
        <f t="shared" ref="C21:L21" si="15">C19+C20</f>
        <v>34.209997916666673</v>
      </c>
      <c r="D21" s="5">
        <f t="shared" si="15"/>
        <v>34.209997916666673</v>
      </c>
      <c r="E21" s="5">
        <f t="shared" si="15"/>
        <v>34.209997916666651</v>
      </c>
      <c r="F21" s="5">
        <f t="shared" si="15"/>
        <v>68.41999583333336</v>
      </c>
      <c r="G21" s="5">
        <f t="shared" si="15"/>
        <v>68.41999583333336</v>
      </c>
      <c r="H21" s="5">
        <f t="shared" si="15"/>
        <v>68.419995833333275</v>
      </c>
      <c r="I21" s="5">
        <f t="shared" si="15"/>
        <v>68.419995833333374</v>
      </c>
      <c r="J21" s="5">
        <f t="shared" si="15"/>
        <v>68.419995833333388</v>
      </c>
      <c r="K21" s="5">
        <f t="shared" si="15"/>
        <v>68.419995833333246</v>
      </c>
      <c r="L21" s="5">
        <f t="shared" si="15"/>
        <v>68.419995833333417</v>
      </c>
    </row>
    <row r="23" spans="1:12" x14ac:dyDescent="0.2">
      <c r="A23" t="s">
        <v>166</v>
      </c>
      <c r="B23" t="s">
        <v>167</v>
      </c>
      <c r="C23" s="6">
        <v>43.2</v>
      </c>
      <c r="D23" s="6">
        <v>43.2</v>
      </c>
      <c r="E23" s="6">
        <v>86.4</v>
      </c>
      <c r="F23" s="6">
        <v>86.4</v>
      </c>
      <c r="G23" s="6">
        <v>86.4</v>
      </c>
      <c r="H23" s="6">
        <v>86.4</v>
      </c>
      <c r="I23" s="6">
        <v>172.8</v>
      </c>
      <c r="J23" s="6">
        <v>172.8</v>
      </c>
      <c r="K23" s="6">
        <v>172.8</v>
      </c>
      <c r="L23" s="6">
        <v>172.8</v>
      </c>
    </row>
    <row r="24" spans="1:12" x14ac:dyDescent="0.2">
      <c r="A24" t="s">
        <v>168</v>
      </c>
      <c r="B24" t="s">
        <v>169</v>
      </c>
      <c r="C24" s="5">
        <f>CEILING('Ops Storage'!C55/C23,1)</f>
        <v>82</v>
      </c>
      <c r="D24" s="5">
        <f>CEILING('Ops Storage'!D55/D23,1)</f>
        <v>215</v>
      </c>
      <c r="E24" s="5">
        <f>CEILING('Ops Storage'!E55/E23,1)</f>
        <v>200</v>
      </c>
      <c r="F24" s="5">
        <f>CEILING('Ops Storage'!F55/F23,1)</f>
        <v>280</v>
      </c>
      <c r="G24" s="5">
        <f>CEILING('Ops Storage'!G55/G23,1)</f>
        <v>362</v>
      </c>
      <c r="H24" s="5">
        <f>CEILING('Ops Storage'!H55/H23,1)</f>
        <v>449</v>
      </c>
      <c r="I24" s="5">
        <f>CEILING('Ops Storage'!I55/I23,1)</f>
        <v>270</v>
      </c>
      <c r="J24" s="5">
        <f>CEILING('Ops Storage'!J55/J23,1)</f>
        <v>317</v>
      </c>
      <c r="K24" s="5">
        <f>CEILING('Ops Storage'!K55/K23,1)</f>
        <v>366</v>
      </c>
      <c r="L24" s="5">
        <f>CEILING('Ops Storage'!L55/L23,1)</f>
        <v>417</v>
      </c>
    </row>
    <row r="25" spans="1:12" x14ac:dyDescent="0.2">
      <c r="A25" t="s">
        <v>170</v>
      </c>
      <c r="B25" t="s">
        <v>169</v>
      </c>
      <c r="C25" s="5">
        <f>C24</f>
        <v>82</v>
      </c>
      <c r="D25" s="5">
        <f t="shared" ref="D25:L25" si="16">D24-C24</f>
        <v>133</v>
      </c>
      <c r="E25" s="5">
        <f t="shared" si="16"/>
        <v>-15</v>
      </c>
      <c r="F25" s="5">
        <f t="shared" si="16"/>
        <v>80</v>
      </c>
      <c r="G25" s="5">
        <f t="shared" si="16"/>
        <v>82</v>
      </c>
      <c r="H25" s="5">
        <f t="shared" si="16"/>
        <v>87</v>
      </c>
      <c r="I25" s="5">
        <f t="shared" si="16"/>
        <v>-179</v>
      </c>
      <c r="J25" s="5">
        <f t="shared" si="16"/>
        <v>47</v>
      </c>
      <c r="K25" s="5">
        <f t="shared" si="16"/>
        <v>49</v>
      </c>
      <c r="L25" s="5">
        <f t="shared" si="16"/>
        <v>51</v>
      </c>
    </row>
    <row r="26" spans="1:12" x14ac:dyDescent="0.2">
      <c r="A26" t="s">
        <v>171</v>
      </c>
      <c r="B26" t="s">
        <v>169</v>
      </c>
      <c r="C26" s="5">
        <v>0</v>
      </c>
      <c r="D26" s="5">
        <v>0</v>
      </c>
      <c r="E26" s="5">
        <v>0</v>
      </c>
      <c r="F26" s="5">
        <f t="shared" ref="F26:L26" si="17">C25</f>
        <v>82</v>
      </c>
      <c r="G26" s="5">
        <f t="shared" si="17"/>
        <v>133</v>
      </c>
      <c r="H26" s="5">
        <f t="shared" si="17"/>
        <v>-15</v>
      </c>
      <c r="I26" s="5">
        <f t="shared" si="17"/>
        <v>80</v>
      </c>
      <c r="J26" s="5">
        <f t="shared" si="17"/>
        <v>82</v>
      </c>
      <c r="K26" s="5">
        <f t="shared" si="17"/>
        <v>87</v>
      </c>
      <c r="L26" s="5">
        <f t="shared" si="17"/>
        <v>-179</v>
      </c>
    </row>
    <row r="27" spans="1:12" x14ac:dyDescent="0.2">
      <c r="A27" t="s">
        <v>172</v>
      </c>
      <c r="B27" t="s">
        <v>169</v>
      </c>
      <c r="C27" s="5">
        <f t="shared" ref="C27:L27" si="18">C25+C26</f>
        <v>82</v>
      </c>
      <c r="D27" s="5">
        <f t="shared" si="18"/>
        <v>133</v>
      </c>
      <c r="E27" s="5">
        <f t="shared" si="18"/>
        <v>-15</v>
      </c>
      <c r="F27" s="5">
        <f t="shared" si="18"/>
        <v>162</v>
      </c>
      <c r="G27" s="5">
        <f t="shared" si="18"/>
        <v>215</v>
      </c>
      <c r="H27" s="5">
        <f t="shared" si="18"/>
        <v>72</v>
      </c>
      <c r="I27" s="5">
        <f t="shared" si="18"/>
        <v>-99</v>
      </c>
      <c r="J27" s="5">
        <f t="shared" si="18"/>
        <v>129</v>
      </c>
      <c r="K27" s="5">
        <f t="shared" si="18"/>
        <v>136</v>
      </c>
      <c r="L27" s="5">
        <f t="shared" si="18"/>
        <v>-128</v>
      </c>
    </row>
    <row r="29" spans="1:12" x14ac:dyDescent="0.2">
      <c r="A29" t="s">
        <v>37</v>
      </c>
      <c r="B29" t="s">
        <v>169</v>
      </c>
      <c r="C29" s="5">
        <v>2</v>
      </c>
      <c r="D29" s="5">
        <v>2</v>
      </c>
      <c r="E29" s="5">
        <v>2</v>
      </c>
      <c r="F29" s="5">
        <v>2</v>
      </c>
      <c r="G29" s="5">
        <v>2</v>
      </c>
      <c r="H29" s="5">
        <v>2</v>
      </c>
      <c r="I29" s="5">
        <v>2</v>
      </c>
      <c r="J29" s="5">
        <v>2</v>
      </c>
      <c r="K29" s="5">
        <v>2</v>
      </c>
      <c r="L29" s="5">
        <v>2</v>
      </c>
    </row>
    <row r="31" spans="1:12" x14ac:dyDescent="0.2">
      <c r="A31" t="s">
        <v>173</v>
      </c>
      <c r="B31" t="s">
        <v>169</v>
      </c>
      <c r="C31" s="5">
        <v>75</v>
      </c>
      <c r="D31" s="5">
        <v>75</v>
      </c>
      <c r="E31" s="5">
        <v>75</v>
      </c>
      <c r="F31" s="5">
        <v>75</v>
      </c>
      <c r="G31" s="5">
        <v>75</v>
      </c>
      <c r="H31" s="5">
        <v>75</v>
      </c>
      <c r="I31" s="5">
        <v>75</v>
      </c>
      <c r="J31" s="5">
        <v>75</v>
      </c>
      <c r="K31" s="5">
        <v>75</v>
      </c>
      <c r="L31" s="5">
        <v>75</v>
      </c>
    </row>
    <row r="33" spans="1:12" x14ac:dyDescent="0.2">
      <c r="A33" t="s">
        <v>174</v>
      </c>
      <c r="B33" t="s">
        <v>175</v>
      </c>
      <c r="C33">
        <f>C14/'Ops Storage'!C8</f>
        <v>6.841999583333333E-2</v>
      </c>
      <c r="D33">
        <f>D14/'Ops Storage'!D8</f>
        <v>0.1140333263888889</v>
      </c>
      <c r="E33">
        <f>E14/'Ops Storage'!E8</f>
        <v>0.14661427678571429</v>
      </c>
      <c r="F33">
        <f>F14/'Ops Storage'!F8</f>
        <v>0.18245332222222224</v>
      </c>
      <c r="G33">
        <f>G14/'Ops Storage'!G8</f>
        <v>0.2280666527777778</v>
      </c>
      <c r="H33">
        <f>H14/'Ops Storage'!H8</f>
        <v>0.27367998333333332</v>
      </c>
      <c r="I33">
        <f>I14/'Ops Storage'!I8</f>
        <v>0.31929331388888887</v>
      </c>
      <c r="J33">
        <f>J14/'Ops Storage'!J8</f>
        <v>0.36490664444444448</v>
      </c>
      <c r="K33">
        <f>K14/'Ops Storage'!K8</f>
        <v>0.41051997499999998</v>
      </c>
      <c r="L33">
        <f>L14/'Ops Storage'!L8</f>
        <v>0.45613330555555559</v>
      </c>
    </row>
    <row r="34" spans="1:12" x14ac:dyDescent="0.2">
      <c r="A34" s="3" t="s">
        <v>176</v>
      </c>
      <c r="B34" t="s">
        <v>150</v>
      </c>
      <c r="C34" s="5">
        <f t="shared" ref="C34:L34" si="19">C7+C17+C21</f>
        <v>3797.3097687499999</v>
      </c>
      <c r="D34" s="5">
        <f t="shared" si="19"/>
        <v>3797.3097687499999</v>
      </c>
      <c r="E34" s="5">
        <f t="shared" si="19"/>
        <v>3797.309768749999</v>
      </c>
      <c r="F34" s="5">
        <f t="shared" si="19"/>
        <v>7594.6195375000007</v>
      </c>
      <c r="G34" s="5">
        <f t="shared" si="19"/>
        <v>7594.6195375000007</v>
      </c>
      <c r="H34" s="5">
        <f t="shared" si="19"/>
        <v>7594.619537499997</v>
      </c>
      <c r="I34" s="5">
        <f t="shared" si="19"/>
        <v>7594.6195375000034</v>
      </c>
      <c r="J34" s="5">
        <f t="shared" si="19"/>
        <v>7594.6195374999998</v>
      </c>
      <c r="K34" s="5">
        <f t="shared" si="19"/>
        <v>7594.6195374999961</v>
      </c>
      <c r="L34" s="5">
        <f t="shared" si="19"/>
        <v>7594.6195375000061</v>
      </c>
    </row>
    <row r="35" spans="1:12" x14ac:dyDescent="0.2">
      <c r="A35" t="s">
        <v>177</v>
      </c>
      <c r="B35" t="s">
        <v>169</v>
      </c>
      <c r="C35" s="5">
        <f t="shared" ref="C35:L35" si="20">ROUNDUP(C34/120,0)</f>
        <v>32</v>
      </c>
      <c r="D35" s="5">
        <f t="shared" si="20"/>
        <v>32</v>
      </c>
      <c r="E35" s="5">
        <f t="shared" si="20"/>
        <v>32</v>
      </c>
      <c r="F35" s="5">
        <f t="shared" si="20"/>
        <v>64</v>
      </c>
      <c r="G35" s="5">
        <f t="shared" si="20"/>
        <v>64</v>
      </c>
      <c r="H35" s="5">
        <f t="shared" si="20"/>
        <v>64</v>
      </c>
      <c r="I35" s="5">
        <f t="shared" si="20"/>
        <v>64</v>
      </c>
      <c r="J35" s="5">
        <f t="shared" si="20"/>
        <v>64</v>
      </c>
      <c r="K35" s="5">
        <f t="shared" si="20"/>
        <v>64</v>
      </c>
      <c r="L35" s="5">
        <f t="shared" si="20"/>
        <v>64</v>
      </c>
    </row>
    <row r="36" spans="1:12" x14ac:dyDescent="0.2">
      <c r="A36" t="s">
        <v>178</v>
      </c>
      <c r="B36" t="s">
        <v>150</v>
      </c>
      <c r="C36" s="5">
        <f>17400+C34</f>
        <v>21197.309768750001</v>
      </c>
      <c r="D36" s="5">
        <f t="shared" ref="D36:L36" si="21">C36+D34</f>
        <v>24994.619537500002</v>
      </c>
      <c r="E36" s="5">
        <f t="shared" si="21"/>
        <v>28791.92930625</v>
      </c>
      <c r="F36" s="5">
        <f t="shared" si="21"/>
        <v>36386.548843750003</v>
      </c>
      <c r="G36" s="5">
        <f t="shared" si="21"/>
        <v>43981.168381250005</v>
      </c>
      <c r="H36" s="5">
        <f t="shared" si="21"/>
        <v>51575.78791875</v>
      </c>
      <c r="I36" s="5">
        <f t="shared" si="21"/>
        <v>59170.407456250003</v>
      </c>
      <c r="J36" s="5">
        <f t="shared" si="21"/>
        <v>66765.026993749998</v>
      </c>
      <c r="K36" s="5">
        <f t="shared" si="21"/>
        <v>74359.646531249993</v>
      </c>
      <c r="L36" s="5">
        <f t="shared" si="21"/>
        <v>81954.266068750003</v>
      </c>
    </row>
    <row r="99" spans="1:2" x14ac:dyDescent="0.2">
      <c r="A99" s="7" t="s">
        <v>179</v>
      </c>
      <c r="B99" s="5">
        <v>1188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32"/>
  <sheetViews>
    <sheetView workbookViewId="0"/>
  </sheetViews>
  <sheetFormatPr baseColWidth="10" defaultColWidth="8.83203125" defaultRowHeight="15" x14ac:dyDescent="0.2"/>
  <cols>
    <col min="1" max="1" width="38" customWidth="1"/>
    <col min="2" max="5" width="18" customWidth="1"/>
    <col min="6" max="7" width="14" customWidth="1"/>
  </cols>
  <sheetData>
    <row r="1" spans="1:6" ht="17" x14ac:dyDescent="0.2">
      <c r="A1" s="4" t="s">
        <v>180</v>
      </c>
    </row>
    <row r="2" spans="1:6" ht="16" x14ac:dyDescent="0.2">
      <c r="A2" s="2" t="s">
        <v>181</v>
      </c>
      <c r="B2" s="2" t="s">
        <v>182</v>
      </c>
      <c r="C2" s="2" t="s">
        <v>183</v>
      </c>
      <c r="D2" s="2" t="s">
        <v>184</v>
      </c>
      <c r="E2" s="2" t="s">
        <v>185</v>
      </c>
      <c r="F2" s="2" t="s">
        <v>186</v>
      </c>
    </row>
    <row r="3" spans="1:6" x14ac:dyDescent="0.2">
      <c r="A3" t="s">
        <v>187</v>
      </c>
      <c r="B3">
        <v>120</v>
      </c>
      <c r="C3">
        <v>480</v>
      </c>
      <c r="D3">
        <v>120</v>
      </c>
      <c r="E3" s="8">
        <v>11800</v>
      </c>
      <c r="F3" t="s">
        <v>188</v>
      </c>
    </row>
    <row r="4" spans="1:6" x14ac:dyDescent="0.2">
      <c r="A4" t="s">
        <v>189</v>
      </c>
      <c r="B4">
        <v>120</v>
      </c>
      <c r="C4">
        <v>720</v>
      </c>
      <c r="D4">
        <v>120</v>
      </c>
      <c r="E4" s="8">
        <v>16000</v>
      </c>
      <c r="F4" t="s">
        <v>190</v>
      </c>
    </row>
    <row r="5" spans="1:6" x14ac:dyDescent="0.2">
      <c r="A5" t="s">
        <v>191</v>
      </c>
      <c r="B5">
        <v>48</v>
      </c>
      <c r="C5">
        <v>256</v>
      </c>
      <c r="D5">
        <v>27</v>
      </c>
      <c r="E5" s="8">
        <v>8000</v>
      </c>
      <c r="F5" t="s">
        <v>192</v>
      </c>
    </row>
    <row r="6" spans="1:6" x14ac:dyDescent="0.2">
      <c r="A6" t="s">
        <v>193</v>
      </c>
      <c r="B6">
        <v>32</v>
      </c>
      <c r="C6">
        <v>256</v>
      </c>
      <c r="D6">
        <v>32</v>
      </c>
      <c r="E6" s="8">
        <v>20000</v>
      </c>
      <c r="F6" t="s">
        <v>194</v>
      </c>
    </row>
    <row r="7" spans="1:6" x14ac:dyDescent="0.2">
      <c r="A7" t="s">
        <v>195</v>
      </c>
      <c r="B7">
        <v>128</v>
      </c>
      <c r="C7">
        <v>512</v>
      </c>
      <c r="D7">
        <v>128</v>
      </c>
      <c r="E7" s="8">
        <v>250000</v>
      </c>
      <c r="F7" t="s">
        <v>196</v>
      </c>
    </row>
    <row r="9" spans="1:6" ht="17" x14ac:dyDescent="0.2">
      <c r="A9" s="4" t="s">
        <v>197</v>
      </c>
    </row>
    <row r="10" spans="1:6" ht="16" x14ac:dyDescent="0.2">
      <c r="A10" s="2" t="s">
        <v>198</v>
      </c>
      <c r="B10" s="2" t="s">
        <v>199</v>
      </c>
    </row>
    <row r="11" spans="1:6" x14ac:dyDescent="0.2">
      <c r="A11" t="s">
        <v>200</v>
      </c>
      <c r="B11" s="8">
        <v>320</v>
      </c>
    </row>
    <row r="12" spans="1:6" x14ac:dyDescent="0.2">
      <c r="A12" t="s">
        <v>201</v>
      </c>
      <c r="B12" s="8">
        <v>56</v>
      </c>
    </row>
    <row r="13" spans="1:6" x14ac:dyDescent="0.2">
      <c r="A13" t="s">
        <v>62</v>
      </c>
      <c r="B13" s="8">
        <v>36</v>
      </c>
    </row>
    <row r="14" spans="1:6" x14ac:dyDescent="0.2">
      <c r="A14" t="s">
        <v>63</v>
      </c>
      <c r="B14" s="8">
        <v>12.5</v>
      </c>
    </row>
    <row r="17" spans="1:3" ht="17" x14ac:dyDescent="0.2">
      <c r="A17" s="4" t="s">
        <v>202</v>
      </c>
    </row>
    <row r="18" spans="1:3" ht="16" x14ac:dyDescent="0.2">
      <c r="A18" s="2" t="s">
        <v>1</v>
      </c>
      <c r="B18" s="2" t="s">
        <v>2</v>
      </c>
      <c r="C18" s="2" t="s">
        <v>203</v>
      </c>
    </row>
    <row r="19" spans="1:3" x14ac:dyDescent="0.2">
      <c r="A19" t="s">
        <v>204</v>
      </c>
      <c r="B19">
        <v>0</v>
      </c>
      <c r="C19">
        <f>1-B19</f>
        <v>1</v>
      </c>
    </row>
    <row r="20" spans="1:3" x14ac:dyDescent="0.2">
      <c r="A20" t="s">
        <v>205</v>
      </c>
      <c r="B20">
        <v>0</v>
      </c>
      <c r="C20">
        <f>1-B20</f>
        <v>1</v>
      </c>
    </row>
    <row r="21" spans="1:3" x14ac:dyDescent="0.2">
      <c r="A21" t="s">
        <v>206</v>
      </c>
      <c r="B21">
        <v>0</v>
      </c>
      <c r="C21">
        <f>1-B21</f>
        <v>1</v>
      </c>
    </row>
    <row r="22" spans="1:3" x14ac:dyDescent="0.2">
      <c r="A22" t="s">
        <v>207</v>
      </c>
      <c r="B22">
        <v>2026</v>
      </c>
    </row>
    <row r="23" spans="1:3" x14ac:dyDescent="0.2">
      <c r="A23" t="s">
        <v>65</v>
      </c>
      <c r="B23">
        <v>3</v>
      </c>
    </row>
    <row r="24" spans="1:3" x14ac:dyDescent="0.2">
      <c r="A24" t="s">
        <v>66</v>
      </c>
      <c r="B24">
        <v>5</v>
      </c>
    </row>
    <row r="27" spans="1:3" ht="17" x14ac:dyDescent="0.2">
      <c r="A27" s="4" t="s">
        <v>208</v>
      </c>
    </row>
    <row r="28" spans="1:3" x14ac:dyDescent="0.2">
      <c r="A28" t="s">
        <v>209</v>
      </c>
      <c r="B28">
        <v>36</v>
      </c>
    </row>
    <row r="29" spans="1:3" x14ac:dyDescent="0.2">
      <c r="A29" t="s">
        <v>210</v>
      </c>
      <c r="B29" s="8">
        <v>24000</v>
      </c>
    </row>
    <row r="30" spans="1:3" x14ac:dyDescent="0.2">
      <c r="A30" t="s">
        <v>211</v>
      </c>
      <c r="B30" s="8">
        <v>566</v>
      </c>
    </row>
    <row r="31" spans="1:3" x14ac:dyDescent="0.2">
      <c r="A31" t="s">
        <v>212</v>
      </c>
      <c r="B31">
        <v>0.14000000000000001</v>
      </c>
    </row>
    <row r="32" spans="1:3" x14ac:dyDescent="0.2">
      <c r="A32" t="s">
        <v>213</v>
      </c>
      <c r="B32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M26"/>
  <sheetViews>
    <sheetView workbookViewId="0"/>
  </sheetViews>
  <sheetFormatPr baseColWidth="10" defaultColWidth="8.83203125" defaultRowHeight="15" x14ac:dyDescent="0.2"/>
  <cols>
    <col min="1" max="1" width="38" customWidth="1"/>
    <col min="2" max="2" width="14" customWidth="1"/>
    <col min="3" max="13" width="18" customWidth="1"/>
  </cols>
  <sheetData>
    <row r="1" spans="1:13" ht="17" x14ac:dyDescent="0.2">
      <c r="A1" s="4" t="s">
        <v>214</v>
      </c>
    </row>
    <row r="2" spans="1:13" ht="16" x14ac:dyDescent="0.2">
      <c r="A2" s="2" t="s">
        <v>146</v>
      </c>
      <c r="B2" s="2" t="s">
        <v>72</v>
      </c>
      <c r="C2" s="2" t="s">
        <v>215</v>
      </c>
      <c r="D2" s="2" t="s">
        <v>216</v>
      </c>
      <c r="E2" s="2" t="s">
        <v>217</v>
      </c>
      <c r="F2" s="2" t="s">
        <v>218</v>
      </c>
      <c r="G2" s="2" t="s">
        <v>219</v>
      </c>
      <c r="H2" s="2" t="s">
        <v>220</v>
      </c>
      <c r="I2" s="2" t="s">
        <v>221</v>
      </c>
      <c r="J2" s="2" t="s">
        <v>222</v>
      </c>
      <c r="K2" s="2" t="s">
        <v>223</v>
      </c>
      <c r="L2" s="2" t="s">
        <v>224</v>
      </c>
      <c r="M2" s="2" t="s">
        <v>225</v>
      </c>
    </row>
    <row r="3" spans="1:13" x14ac:dyDescent="0.2">
      <c r="A3" t="s">
        <v>226</v>
      </c>
      <c r="B3" t="s">
        <v>227</v>
      </c>
      <c r="C3" s="9">
        <f>'Ops Compute'!C35*16000/1000000</f>
        <v>0.51200000000000001</v>
      </c>
      <c r="D3" s="9">
        <f>'Ops Compute'!D35*16000/1000000</f>
        <v>0.51200000000000001</v>
      </c>
      <c r="E3" s="9">
        <f>'Ops Compute'!E35*16000/1000000</f>
        <v>0.51200000000000001</v>
      </c>
      <c r="F3" s="9">
        <f>'Ops Compute'!F35*16000/1000000</f>
        <v>1.024</v>
      </c>
      <c r="G3" s="9">
        <f>'Ops Compute'!G35*16000/1000000</f>
        <v>1.024</v>
      </c>
      <c r="H3" s="9">
        <f>'Ops Compute'!H35*16000/1000000</f>
        <v>1.024</v>
      </c>
      <c r="I3" s="9">
        <f>'Ops Compute'!I35*16000/1000000</f>
        <v>1.024</v>
      </c>
      <c r="J3" s="9">
        <f>'Ops Compute'!J35*16000/1000000</f>
        <v>1.024</v>
      </c>
      <c r="K3" s="9">
        <f>'Ops Compute'!K35*16000/1000000</f>
        <v>1.024</v>
      </c>
      <c r="L3" s="9">
        <f>'Ops Compute'!L35*16000/1000000</f>
        <v>1.024</v>
      </c>
      <c r="M3" s="9">
        <f t="shared" ref="M3:M9" si="0">SUM(C3:L3)</f>
        <v>8.7040000000000006</v>
      </c>
    </row>
    <row r="4" spans="1:13" x14ac:dyDescent="0.2">
      <c r="A4" t="s">
        <v>228</v>
      </c>
      <c r="B4" t="s">
        <v>227</v>
      </c>
      <c r="C4" s="9">
        <f>C3*POWER(1,2026-2026)</f>
        <v>0.51200000000000001</v>
      </c>
      <c r="D4" s="9">
        <f>D3*POWER(1,2027-2026)</f>
        <v>0.51200000000000001</v>
      </c>
      <c r="E4" s="9">
        <f>E3*POWER(1,2028-2026)</f>
        <v>0.51200000000000001</v>
      </c>
      <c r="F4" s="9">
        <f>F3*POWER(1,2029-2026)</f>
        <v>1.024</v>
      </c>
      <c r="G4" s="9">
        <f>G3*POWER(1,2030-2026)</f>
        <v>1.024</v>
      </c>
      <c r="H4" s="9">
        <f>H3*POWER(1,2031-2026)</f>
        <v>1.024</v>
      </c>
      <c r="I4" s="9">
        <f>I3*POWER(1,2032-2026)</f>
        <v>1.024</v>
      </c>
      <c r="J4" s="9">
        <f>J3*POWER(1,2033-2026)</f>
        <v>1.024</v>
      </c>
      <c r="K4" s="9">
        <f>K3*POWER(1,2034-2026)</f>
        <v>1.024</v>
      </c>
      <c r="L4" s="9">
        <f>L3*POWER(1,2035-2026)</f>
        <v>1.024</v>
      </c>
      <c r="M4" s="9">
        <f t="shared" si="0"/>
        <v>8.7040000000000006</v>
      </c>
    </row>
    <row r="5" spans="1:13" x14ac:dyDescent="0.2">
      <c r="A5" t="s">
        <v>229</v>
      </c>
      <c r="B5" t="s">
        <v>227</v>
      </c>
      <c r="C5" s="9">
        <f>'Ops Compute'!C27*20000/1000000</f>
        <v>1.64</v>
      </c>
      <c r="D5" s="9">
        <f>'Ops Compute'!D27*20000/1000000</f>
        <v>2.66</v>
      </c>
      <c r="E5" s="9">
        <f>'Ops Compute'!E27*20000/1000000</f>
        <v>-0.3</v>
      </c>
      <c r="F5" s="9">
        <f>'Ops Compute'!F27*20000/1000000</f>
        <v>3.24</v>
      </c>
      <c r="G5" s="9">
        <f>'Ops Compute'!G27*20000/1000000</f>
        <v>4.3</v>
      </c>
      <c r="H5" s="9">
        <f>'Ops Compute'!H27*20000/1000000</f>
        <v>1.44</v>
      </c>
      <c r="I5" s="9">
        <f>'Ops Compute'!I27*20000/1000000</f>
        <v>-1.98</v>
      </c>
      <c r="J5" s="9">
        <f>'Ops Compute'!J27*20000/1000000</f>
        <v>2.58</v>
      </c>
      <c r="K5" s="9">
        <f>'Ops Compute'!K27*20000/1000000</f>
        <v>2.72</v>
      </c>
      <c r="L5" s="9">
        <f>'Ops Compute'!L27*20000/1000000</f>
        <v>-2.56</v>
      </c>
      <c r="M5" s="9">
        <f t="shared" si="0"/>
        <v>13.739999999999997</v>
      </c>
    </row>
    <row r="6" spans="1:13" x14ac:dyDescent="0.2">
      <c r="A6" t="s">
        <v>230</v>
      </c>
      <c r="B6" t="s">
        <v>227</v>
      </c>
      <c r="C6" s="9">
        <f>C5*POWER(1,2026-2026)</f>
        <v>1.64</v>
      </c>
      <c r="D6" s="9">
        <f>D5*POWER(1,2027-2026)</f>
        <v>2.66</v>
      </c>
      <c r="E6" s="9">
        <f>E5*POWER(1,2028-2026)</f>
        <v>-0.3</v>
      </c>
      <c r="F6" s="9">
        <f>F5*POWER(1,2029-2026)</f>
        <v>3.24</v>
      </c>
      <c r="G6" s="9">
        <f>G5*POWER(1,2030-2026)</f>
        <v>4.3</v>
      </c>
      <c r="H6" s="9">
        <f>H5*POWER(1,2031-2026)</f>
        <v>1.44</v>
      </c>
      <c r="I6" s="9">
        <f>I5*POWER(1,2032-2026)</f>
        <v>-1.98</v>
      </c>
      <c r="J6" s="9">
        <f>J5*POWER(1,2033-2026)</f>
        <v>2.58</v>
      </c>
      <c r="K6" s="9">
        <f>K5*POWER(1,2034-2026)</f>
        <v>2.72</v>
      </c>
      <c r="L6" s="9">
        <f>L5*POWER(1,2035-2026)</f>
        <v>-2.56</v>
      </c>
      <c r="M6" s="9">
        <f t="shared" si="0"/>
        <v>13.739999999999997</v>
      </c>
    </row>
    <row r="7" spans="1:13" x14ac:dyDescent="0.2">
      <c r="A7" t="s">
        <v>231</v>
      </c>
      <c r="B7" t="s">
        <v>227</v>
      </c>
      <c r="C7" s="9">
        <f>'Ops Compute'!C29*250000/1000000</f>
        <v>0.5</v>
      </c>
      <c r="D7" s="9">
        <f>'Ops Compute'!D29*250000/1000000</f>
        <v>0.5</v>
      </c>
      <c r="E7" s="9">
        <f>'Ops Compute'!E29*250000/1000000</f>
        <v>0.5</v>
      </c>
      <c r="F7" s="9">
        <f>'Ops Compute'!F29*250000/1000000</f>
        <v>0.5</v>
      </c>
      <c r="G7" s="9">
        <f>'Ops Compute'!G29*250000/1000000</f>
        <v>0.5</v>
      </c>
      <c r="H7" s="9">
        <f>'Ops Compute'!H29*250000/1000000</f>
        <v>0.5</v>
      </c>
      <c r="I7" s="9">
        <f>'Ops Compute'!I29*250000/1000000</f>
        <v>0.5</v>
      </c>
      <c r="J7" s="9">
        <f>'Ops Compute'!J29*250000/1000000</f>
        <v>0.5</v>
      </c>
      <c r="K7" s="9">
        <f>'Ops Compute'!K29*250000/1000000</f>
        <v>0.5</v>
      </c>
      <c r="L7" s="9">
        <f>'Ops Compute'!L29*250000/1000000</f>
        <v>0.5</v>
      </c>
      <c r="M7" s="9">
        <f t="shared" si="0"/>
        <v>5</v>
      </c>
    </row>
    <row r="8" spans="1:13" x14ac:dyDescent="0.2">
      <c r="A8" t="s">
        <v>232</v>
      </c>
      <c r="B8" t="s">
        <v>227</v>
      </c>
      <c r="C8">
        <f>'Ops Compute'!C31*8000/1000000</f>
        <v>0.6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f t="shared" si="0"/>
        <v>0.6</v>
      </c>
    </row>
    <row r="9" spans="1:13" x14ac:dyDescent="0.2">
      <c r="A9" s="3" t="s">
        <v>233</v>
      </c>
      <c r="B9" t="s">
        <v>227</v>
      </c>
      <c r="C9" s="9">
        <f t="shared" ref="C9:L9" si="1">C4+C6+C7+C8</f>
        <v>3.2520000000000002</v>
      </c>
      <c r="D9" s="9">
        <f t="shared" si="1"/>
        <v>3.6720000000000002</v>
      </c>
      <c r="E9" s="9">
        <f t="shared" si="1"/>
        <v>0.71199999999999997</v>
      </c>
      <c r="F9" s="9">
        <f t="shared" si="1"/>
        <v>4.7640000000000002</v>
      </c>
      <c r="G9" s="9">
        <f t="shared" si="1"/>
        <v>5.8239999999999998</v>
      </c>
      <c r="H9" s="9">
        <f t="shared" si="1"/>
        <v>2.964</v>
      </c>
      <c r="I9" s="9">
        <f t="shared" si="1"/>
        <v>-0.45599999999999996</v>
      </c>
      <c r="J9" s="9">
        <f t="shared" si="1"/>
        <v>4.1040000000000001</v>
      </c>
      <c r="K9" s="9">
        <f t="shared" si="1"/>
        <v>4.2439999999999998</v>
      </c>
      <c r="L9" s="9">
        <f t="shared" si="1"/>
        <v>-1.036</v>
      </c>
      <c r="M9" s="9">
        <f t="shared" si="0"/>
        <v>28.043999999999997</v>
      </c>
    </row>
    <row r="11" spans="1:13" x14ac:dyDescent="0.2">
      <c r="A11" s="3" t="s">
        <v>234</v>
      </c>
    </row>
    <row r="12" spans="1:13" x14ac:dyDescent="0.2">
      <c r="A12" t="s">
        <v>235</v>
      </c>
      <c r="B12" t="s">
        <v>227</v>
      </c>
      <c r="C12" s="9">
        <f>'Ops Storage'!C51*320/1000000</f>
        <v>0.11295966315789471</v>
      </c>
      <c r="D12" s="9">
        <f>MAX(0,'Ops Storage'!D51-'Ops Storage'!C51)*320/1000000</f>
        <v>6.0933600000000004E-2</v>
      </c>
      <c r="E12" s="9">
        <f>MAX(0,'Ops Storage'!E51-'Ops Storage'!D51)*320/1000000</f>
        <v>6.8955264000000002E-2</v>
      </c>
      <c r="F12" s="9">
        <f>MAX(0,'Ops Storage'!F51-'Ops Storage'!E51)*320/1000000</f>
        <v>2.5966656000000001E-2</v>
      </c>
      <c r="G12" s="9">
        <f>MAX(0,'Ops Storage'!G51-'Ops Storage'!F51)*320/1000000</f>
        <v>2.1703968000000021E-2</v>
      </c>
      <c r="H12" s="9">
        <f>MAX(0,'Ops Storage'!H51-'Ops Storage'!G51)*320/1000000</f>
        <v>2.0211647999999985E-2</v>
      </c>
      <c r="I12" s="9">
        <f>MAX(0,'Ops Storage'!I51-'Ops Storage'!H51)*320/1000000</f>
        <v>1.934380799999999E-2</v>
      </c>
      <c r="J12" s="9">
        <f>MAX(0,'Ops Storage'!J51-'Ops Storage'!I51)*320/1000000</f>
        <v>1.8993888000000007E-2</v>
      </c>
      <c r="K12" s="9">
        <f>MAX(0,'Ops Storage'!K51-'Ops Storage'!J51)*320/1000000</f>
        <v>1.8095040000000007E-2</v>
      </c>
      <c r="L12" s="9">
        <f>MAX(0,'Ops Storage'!L51-'Ops Storage'!K51)*320/1000000</f>
        <v>1.7530559999999969E-2</v>
      </c>
      <c r="M12" s="9">
        <f t="shared" ref="M12:M17" si="2">SUM(C12:L12)</f>
        <v>0.38469409515789471</v>
      </c>
    </row>
    <row r="13" spans="1:13" x14ac:dyDescent="0.2">
      <c r="A13" t="s">
        <v>236</v>
      </c>
      <c r="B13" t="s">
        <v>227</v>
      </c>
      <c r="C13" s="9">
        <f>'Ops Storage'!C53*56/1000000</f>
        <v>0.83020932987032792</v>
      </c>
      <c r="D13" s="9">
        <f>MAX(0,'Ops Storage'!D53-'Ops Storage'!C53)*56/1000000</f>
        <v>0.23870592479999986</v>
      </c>
      <c r="E13" s="9">
        <f>MAX(0,'Ops Storage'!E53-'Ops Storage'!D53)*56/1000000</f>
        <v>0.23488053120000024</v>
      </c>
      <c r="F13" s="9">
        <f>MAX(0,'Ops Storage'!F53-'Ops Storage'!E53)*56/1000000</f>
        <v>0.2306487859199999</v>
      </c>
      <c r="G13" s="9">
        <f>MAX(0,'Ops Storage'!G53-'Ops Storage'!F53)*56/1000000</f>
        <v>0.21995297855999993</v>
      </c>
      <c r="H13" s="9">
        <f>MAX(0,'Ops Storage'!H53-'Ops Storage'!G53)*56/1000000</f>
        <v>0.22612431744000014</v>
      </c>
      <c r="I13" s="9">
        <f>MAX(0,'Ops Storage'!I53-'Ops Storage'!H53)*56/1000000</f>
        <v>0.23475646656000004</v>
      </c>
      <c r="J13" s="9">
        <f>MAX(0,'Ops Storage'!J53-'Ops Storage'!I53)*56/1000000</f>
        <v>0.24275942207999993</v>
      </c>
      <c r="K13" s="9">
        <f>MAX(0,'Ops Storage'!K53-'Ops Storage'!J53)*56/1000000</f>
        <v>0.24799590143999964</v>
      </c>
      <c r="L13" s="9">
        <f>MAX(0,'Ops Storage'!L53-'Ops Storage'!K53)*56/1000000</f>
        <v>0.25619388480000005</v>
      </c>
      <c r="M13" s="9">
        <f t="shared" si="2"/>
        <v>2.9622275426703273</v>
      </c>
    </row>
    <row r="14" spans="1:13" x14ac:dyDescent="0.2">
      <c r="A14" t="s">
        <v>237</v>
      </c>
      <c r="B14" t="s">
        <v>227</v>
      </c>
      <c r="C14" s="9">
        <f>'Ops Storage'!C61*36/1000000</f>
        <v>0.29080422276364803</v>
      </c>
      <c r="D14" s="9">
        <f>MAX(0,'Ops Storage'!D61-'Ops Storage'!C61)*36/1000000</f>
        <v>0.29080422276364803</v>
      </c>
      <c r="E14" s="9">
        <f>MAX(0,'Ops Storage'!E61-'Ops Storage'!D61)*36/1000000</f>
        <v>0.19141895076364804</v>
      </c>
      <c r="F14" s="9">
        <f>MAX(0,'Ops Storage'!F61-'Ops Storage'!E61)*36/1000000</f>
        <v>4.7498150763647981E-2</v>
      </c>
      <c r="G14" s="9">
        <f>MAX(0,'Ops Storage'!G61-'Ops Storage'!F61)*36/1000000</f>
        <v>4.7498150763647981E-2</v>
      </c>
      <c r="H14" s="9">
        <f>MAX(0,'Ops Storage'!H61-'Ops Storage'!G61)*36/1000000</f>
        <v>4.7498150763647981E-2</v>
      </c>
      <c r="I14" s="9">
        <f>MAX(0,'Ops Storage'!I61-'Ops Storage'!H61)*36/1000000</f>
        <v>4.7498150763647981E-2</v>
      </c>
      <c r="J14" s="9">
        <f>MAX(0,'Ops Storage'!J61-'Ops Storage'!I61)*36/1000000</f>
        <v>4.7498150763647981E-2</v>
      </c>
      <c r="K14" s="9">
        <f>MAX(0,'Ops Storage'!K61-'Ops Storage'!J61)*36/1000000</f>
        <v>4.7498150763647981E-2</v>
      </c>
      <c r="L14" s="9">
        <f>MAX(0,'Ops Storage'!L61-'Ops Storage'!K61)*36/1000000</f>
        <v>4.7498150763647981E-2</v>
      </c>
      <c r="M14" s="9">
        <f t="shared" si="2"/>
        <v>1.1055144516364799</v>
      </c>
    </row>
    <row r="15" spans="1:13" x14ac:dyDescent="0.2">
      <c r="A15" t="s">
        <v>238</v>
      </c>
      <c r="B15" t="s">
        <v>227</v>
      </c>
      <c r="C15" s="9">
        <f>'Ops Storage'!C66*12.5/1000000</f>
        <v>0.18472895226994104</v>
      </c>
      <c r="D15" s="9">
        <f>MAX(0,'Ops Storage'!D66-'Ops Storage'!C66)*12.5/1000000</f>
        <v>0.209609381019941</v>
      </c>
      <c r="E15" s="9">
        <f>MAX(0,'Ops Storage'!E66-'Ops Storage'!D66)*12.5/1000000</f>
        <v>0.23334749601994112</v>
      </c>
      <c r="F15" s="9">
        <f>MAX(0,'Ops Storage'!F66-'Ops Storage'!E66)*12.5/1000000</f>
        <v>0.25505318001994109</v>
      </c>
      <c r="G15" s="9">
        <f>MAX(0,'Ops Storage'!G66-'Ops Storage'!F66)*12.5/1000000</f>
        <v>0.27261095451994111</v>
      </c>
      <c r="H15" s="9">
        <f>MAX(0,'Ops Storage'!H66-'Ops Storage'!G66)*12.5/1000000</f>
        <v>0.29039831751994094</v>
      </c>
      <c r="I15" s="9">
        <f>MAX(0,'Ops Storage'!I66-'Ops Storage'!H66)*12.5/1000000</f>
        <v>0.30850681701994104</v>
      </c>
      <c r="J15" s="9">
        <f>MAX(0,'Ops Storage'!J66-'Ops Storage'!I66)*12.5/1000000</f>
        <v>0.3269130455199411</v>
      </c>
      <c r="K15" s="9">
        <f>MAX(0,'Ops Storage'!K66-'Ops Storage'!J66)*12.5/1000000</f>
        <v>0.34551408351994106</v>
      </c>
      <c r="L15" s="9">
        <f>MAX(0,'Ops Storage'!L66-'Ops Storage'!K66)*12.5/1000000</f>
        <v>0.36442010601994118</v>
      </c>
      <c r="M15" s="9">
        <f t="shared" si="2"/>
        <v>2.7911023334494107</v>
      </c>
    </row>
    <row r="16" spans="1:13" x14ac:dyDescent="0.2">
      <c r="A16" t="s">
        <v>239</v>
      </c>
      <c r="B16" t="s">
        <v>227</v>
      </c>
      <c r="C16" s="9">
        <f>(C12+C13+C14+C15)*POWER(1,2026-2026)</f>
        <v>1.4187021680618119</v>
      </c>
      <c r="D16" s="9">
        <f>(D12+D13+D14+D15)*POWER(1,2027-2026)</f>
        <v>0.8000531285835889</v>
      </c>
      <c r="E16" s="9">
        <f>(E12+E13+E14+E15)*POWER(1,2028-2026)</f>
        <v>0.72860224198358936</v>
      </c>
      <c r="F16" s="9">
        <f>(F12+F13+F14+F15)*POWER(1,2029-2026)</f>
        <v>0.55916677270358894</v>
      </c>
      <c r="G16" s="9">
        <f>(G12+G13+G14+G15)*POWER(1,2030-2026)</f>
        <v>0.56176605184358896</v>
      </c>
      <c r="H16" s="9">
        <f>(H12+H13+H14+H15)*POWER(1,2031-2026)</f>
        <v>0.58423243372358913</v>
      </c>
      <c r="I16" s="9">
        <f>(I12+I13+I14+I15)*POWER(1,2032-2026)</f>
        <v>0.61010524234358909</v>
      </c>
      <c r="J16" s="9">
        <f>(J12+J13+J14+J15)*POWER(1,2033-2026)</f>
        <v>0.63616450636358901</v>
      </c>
      <c r="K16" s="9">
        <f>(K12+K13+K14+K15)*POWER(1,2034-2026)</f>
        <v>0.65910317572358879</v>
      </c>
      <c r="L16" s="9">
        <f>(L12+L13+L14+L15)*POWER(1,2035-2026)</f>
        <v>0.6856427015835892</v>
      </c>
      <c r="M16" s="9">
        <f t="shared" si="2"/>
        <v>7.2435384229141144</v>
      </c>
    </row>
    <row r="17" spans="1:13" x14ac:dyDescent="0.2">
      <c r="A17" s="3" t="s">
        <v>240</v>
      </c>
      <c r="B17" t="s">
        <v>227</v>
      </c>
      <c r="C17" s="9">
        <f t="shared" ref="C17:L17" si="3">C12+C13+C14+C15</f>
        <v>1.4187021680618119</v>
      </c>
      <c r="D17" s="9">
        <f t="shared" si="3"/>
        <v>0.8000531285835889</v>
      </c>
      <c r="E17" s="9">
        <f t="shared" si="3"/>
        <v>0.72860224198358936</v>
      </c>
      <c r="F17" s="9">
        <f t="shared" si="3"/>
        <v>0.55916677270358894</v>
      </c>
      <c r="G17" s="9">
        <f t="shared" si="3"/>
        <v>0.56176605184358896</v>
      </c>
      <c r="H17" s="9">
        <f t="shared" si="3"/>
        <v>0.58423243372358913</v>
      </c>
      <c r="I17" s="9">
        <f t="shared" si="3"/>
        <v>0.61010524234358909</v>
      </c>
      <c r="J17" s="9">
        <f t="shared" si="3"/>
        <v>0.63616450636358901</v>
      </c>
      <c r="K17" s="9">
        <f t="shared" si="3"/>
        <v>0.65910317572358879</v>
      </c>
      <c r="L17" s="9">
        <f t="shared" si="3"/>
        <v>0.6856427015835892</v>
      </c>
      <c r="M17" s="9">
        <f t="shared" si="2"/>
        <v>7.2435384229141144</v>
      </c>
    </row>
    <row r="19" spans="1:13" x14ac:dyDescent="0.2">
      <c r="A19" s="3" t="s">
        <v>208</v>
      </c>
    </row>
    <row r="20" spans="1:13" x14ac:dyDescent="0.2">
      <c r="A20" t="s">
        <v>241</v>
      </c>
      <c r="B20" t="s">
        <v>227</v>
      </c>
      <c r="C20" s="9">
        <f>CEILING('Ops Compute'!C36/Model!$D$4,1)*Model!$B$30/1000000</f>
        <v>0.10018199999999999</v>
      </c>
      <c r="D20" s="9">
        <f>CEILING('Ops Compute'!D36/Model!$D$4,1)*Model!$B$30/1000000</f>
        <v>0.118294</v>
      </c>
      <c r="E20" s="9">
        <f>CEILING('Ops Compute'!E36/Model!$D$4,1)*Model!$B$30/1000000</f>
        <v>0.13583999999999999</v>
      </c>
      <c r="F20" s="9">
        <f>CEILING('Ops Compute'!F36/Model!$D$4,1)*Model!$B$30/1000000</f>
        <v>0.17206399999999999</v>
      </c>
      <c r="G20" s="9">
        <f>CEILING('Ops Compute'!G36/Model!$D$4,1)*Model!$B$30/1000000</f>
        <v>0.20772199999999999</v>
      </c>
      <c r="H20" s="9">
        <f>CEILING('Ops Compute'!H36/Model!$D$4,1)*Model!$B$30/1000000</f>
        <v>0.24338000000000001</v>
      </c>
      <c r="I20" s="9">
        <f>CEILING('Ops Compute'!I36/Model!$D$4,1)*Model!$B$30/1000000</f>
        <v>0.27960400000000002</v>
      </c>
      <c r="J20" s="9">
        <f>CEILING('Ops Compute'!J36/Model!$D$4,1)*Model!$B$30/1000000</f>
        <v>0.31526199999999999</v>
      </c>
      <c r="K20" s="9">
        <f>CEILING('Ops Compute'!K36/Model!$D$4,1)*Model!$B$30/1000000</f>
        <v>0.35092000000000001</v>
      </c>
      <c r="L20" s="9">
        <f>CEILING('Ops Compute'!L36/Model!$D$4,1)*Model!$B$30/1000000</f>
        <v>0.38657799999999998</v>
      </c>
      <c r="M20" s="9">
        <f>SUM(C20:L20)</f>
        <v>2.3098459999999998</v>
      </c>
    </row>
    <row r="21" spans="1:13" x14ac:dyDescent="0.2">
      <c r="A21" t="s">
        <v>242</v>
      </c>
      <c r="B21" t="s">
        <v>227</v>
      </c>
      <c r="C21" s="9">
        <f t="shared" ref="C21:L21" si="4">0.14*(C9+C17)+0.15</f>
        <v>0.80389830352865377</v>
      </c>
      <c r="D21" s="9">
        <f t="shared" si="4"/>
        <v>0.77608743800170255</v>
      </c>
      <c r="E21" s="9">
        <f t="shared" si="4"/>
        <v>0.35168431387770249</v>
      </c>
      <c r="F21" s="9">
        <f t="shared" si="4"/>
        <v>0.89524334817850248</v>
      </c>
      <c r="G21" s="9">
        <f t="shared" si="4"/>
        <v>1.0440072472581026</v>
      </c>
      <c r="H21" s="9">
        <f t="shared" si="4"/>
        <v>0.6467525407213025</v>
      </c>
      <c r="I21" s="9">
        <f t="shared" si="4"/>
        <v>0.17157473392810246</v>
      </c>
      <c r="J21" s="9">
        <f t="shared" si="4"/>
        <v>0.8136230308909026</v>
      </c>
      <c r="K21" s="9">
        <f t="shared" si="4"/>
        <v>0.83643444460130245</v>
      </c>
      <c r="L21" s="9">
        <f t="shared" si="4"/>
        <v>0.10094997822170247</v>
      </c>
      <c r="M21" s="9">
        <f>SUM(C21:L21)</f>
        <v>6.4402553792079775</v>
      </c>
    </row>
    <row r="23" spans="1:13" ht="17" x14ac:dyDescent="0.2">
      <c r="A23" s="10" t="s">
        <v>243</v>
      </c>
    </row>
    <row r="24" spans="1:13" x14ac:dyDescent="0.2">
      <c r="A24" t="s">
        <v>244</v>
      </c>
      <c r="B24" t="s">
        <v>227</v>
      </c>
      <c r="C24" s="9">
        <f t="shared" ref="C24:L24" si="5">C9+C17+C20+C21</f>
        <v>5.5747824715904661</v>
      </c>
      <c r="D24" s="9">
        <f t="shared" si="5"/>
        <v>5.3664345665852915</v>
      </c>
      <c r="E24" s="9">
        <f t="shared" si="5"/>
        <v>1.9281265558612919</v>
      </c>
      <c r="F24" s="9">
        <f t="shared" si="5"/>
        <v>6.3904741208820912</v>
      </c>
      <c r="G24" s="9">
        <f t="shared" si="5"/>
        <v>7.6374952991016922</v>
      </c>
      <c r="H24" s="9">
        <f t="shared" si="5"/>
        <v>4.4383649744448919</v>
      </c>
      <c r="I24" s="9">
        <f t="shared" si="5"/>
        <v>0.60528397627169161</v>
      </c>
      <c r="J24" s="9">
        <f t="shared" si="5"/>
        <v>5.869049537254492</v>
      </c>
      <c r="K24" s="9">
        <f t="shared" si="5"/>
        <v>6.0904576203248908</v>
      </c>
      <c r="L24" s="9">
        <f t="shared" si="5"/>
        <v>0.13717067980529163</v>
      </c>
      <c r="M24" s="9">
        <f>SUM(C24:L24)</f>
        <v>44.037639802122094</v>
      </c>
    </row>
    <row r="25" spans="1:13" x14ac:dyDescent="0.2">
      <c r="A25" t="s">
        <v>245</v>
      </c>
      <c r="B25" t="s">
        <v>227</v>
      </c>
      <c r="C25" s="9">
        <f t="shared" ref="C25:L25" si="6">C4+C6+C7+C8+C16+C20+C21</f>
        <v>5.5747824715904661</v>
      </c>
      <c r="D25" s="9">
        <f t="shared" si="6"/>
        <v>5.3664345665852915</v>
      </c>
      <c r="E25" s="9">
        <f t="shared" si="6"/>
        <v>1.9281265558612919</v>
      </c>
      <c r="F25" s="9">
        <f t="shared" si="6"/>
        <v>6.3904741208820912</v>
      </c>
      <c r="G25" s="9">
        <f t="shared" si="6"/>
        <v>7.6374952991016922</v>
      </c>
      <c r="H25" s="9">
        <f t="shared" si="6"/>
        <v>4.4383649744448919</v>
      </c>
      <c r="I25" s="9">
        <f t="shared" si="6"/>
        <v>0.60528397627169161</v>
      </c>
      <c r="J25" s="9">
        <f t="shared" si="6"/>
        <v>5.869049537254492</v>
      </c>
      <c r="K25" s="9">
        <f t="shared" si="6"/>
        <v>6.0904576203248908</v>
      </c>
      <c r="L25" s="9">
        <f t="shared" si="6"/>
        <v>0.13717067980529163</v>
      </c>
      <c r="M25" s="9">
        <f>SUM(C25:L25)</f>
        <v>44.037639802122094</v>
      </c>
    </row>
    <row r="26" spans="1:13" x14ac:dyDescent="0.2">
      <c r="A26" t="s">
        <v>246</v>
      </c>
      <c r="B26" t="s">
        <v>227</v>
      </c>
      <c r="C26" s="9">
        <f>C25</f>
        <v>5.5747824715904661</v>
      </c>
      <c r="D26" s="9">
        <f t="shared" ref="D26:L26" si="7">C26+D25</f>
        <v>10.941217038175758</v>
      </c>
      <c r="E26" s="9">
        <f t="shared" si="7"/>
        <v>12.86934359403705</v>
      </c>
      <c r="F26" s="9">
        <f t="shared" si="7"/>
        <v>19.259817714919141</v>
      </c>
      <c r="G26" s="9">
        <f t="shared" si="7"/>
        <v>26.897313014020831</v>
      </c>
      <c r="H26" s="9">
        <f t="shared" si="7"/>
        <v>31.335677988465722</v>
      </c>
      <c r="I26" s="9">
        <f t="shared" si="7"/>
        <v>31.940961964737415</v>
      </c>
      <c r="J26" s="9">
        <f t="shared" si="7"/>
        <v>37.810011501991909</v>
      </c>
      <c r="K26" s="9">
        <f t="shared" si="7"/>
        <v>43.9004691223168</v>
      </c>
      <c r="L26" s="9">
        <f t="shared" si="7"/>
        <v>44.037639802122094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L63"/>
  <sheetViews>
    <sheetView topLeftCell="A23" workbookViewId="0"/>
  </sheetViews>
  <sheetFormatPr baseColWidth="10" defaultColWidth="8.83203125" defaultRowHeight="15" x14ac:dyDescent="0.2"/>
  <cols>
    <col min="1" max="1" width="42" customWidth="1"/>
    <col min="2" max="2" width="14" customWidth="1"/>
    <col min="3" max="12" width="18" customWidth="1"/>
  </cols>
  <sheetData>
    <row r="1" spans="1:12" ht="19" x14ac:dyDescent="0.25">
      <c r="A1" s="1" t="s">
        <v>247</v>
      </c>
    </row>
    <row r="2" spans="1:12" ht="16" x14ac:dyDescent="0.2">
      <c r="A2" s="2" t="s">
        <v>248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</row>
    <row r="3" spans="1:12" x14ac:dyDescent="0.2">
      <c r="A3" t="s">
        <v>249</v>
      </c>
      <c r="C3" t="s">
        <v>250</v>
      </c>
      <c r="D3" t="s">
        <v>251</v>
      </c>
      <c r="E3" t="s">
        <v>252</v>
      </c>
      <c r="F3" t="s">
        <v>253</v>
      </c>
      <c r="G3" t="s">
        <v>254</v>
      </c>
      <c r="H3" t="s">
        <v>255</v>
      </c>
      <c r="I3" t="s">
        <v>256</v>
      </c>
      <c r="J3" t="s">
        <v>257</v>
      </c>
      <c r="K3" t="s">
        <v>258</v>
      </c>
      <c r="L3" t="s">
        <v>259</v>
      </c>
    </row>
    <row r="4" spans="1:12" x14ac:dyDescent="0.2">
      <c r="A4" t="s">
        <v>260</v>
      </c>
      <c r="C4" s="11" t="s">
        <v>261</v>
      </c>
      <c r="D4" s="11" t="s">
        <v>262</v>
      </c>
      <c r="E4" s="11" t="s">
        <v>263</v>
      </c>
      <c r="F4" s="11" t="s">
        <v>264</v>
      </c>
      <c r="G4" s="11" t="s">
        <v>265</v>
      </c>
      <c r="H4" s="11" t="s">
        <v>266</v>
      </c>
      <c r="I4" s="11" t="s">
        <v>267</v>
      </c>
      <c r="J4" s="11" t="s">
        <v>268</v>
      </c>
      <c r="K4" s="11" t="s">
        <v>269</v>
      </c>
      <c r="L4" s="11" t="s">
        <v>270</v>
      </c>
    </row>
    <row r="6" spans="1:12" x14ac:dyDescent="0.2">
      <c r="A6" s="3" t="s">
        <v>271</v>
      </c>
    </row>
    <row r="7" spans="1:12" x14ac:dyDescent="0.2">
      <c r="A7" t="s">
        <v>272</v>
      </c>
      <c r="B7" t="s">
        <v>150</v>
      </c>
      <c r="C7" s="5">
        <f>'Ops Compute'!C4</f>
        <v>3420.9997916666666</v>
      </c>
      <c r="D7" s="5">
        <f>'Ops Compute'!D4</f>
        <v>6841.9995833333332</v>
      </c>
      <c r="E7" s="5">
        <f>'Ops Compute'!E4</f>
        <v>10262.999374999999</v>
      </c>
      <c r="F7" s="5">
        <f>'Ops Compute'!F4</f>
        <v>13683.999166666666</v>
      </c>
      <c r="G7" s="5">
        <f>'Ops Compute'!G4</f>
        <v>17104.998958333334</v>
      </c>
      <c r="H7" s="5">
        <f>'Ops Compute'!H4</f>
        <v>20525.998749999999</v>
      </c>
      <c r="I7" s="5">
        <f>'Ops Compute'!I4</f>
        <v>23946.998541666668</v>
      </c>
      <c r="J7" s="5">
        <f>'Ops Compute'!J4</f>
        <v>27367.998333333333</v>
      </c>
      <c r="K7" s="5">
        <f>'Ops Compute'!K4</f>
        <v>30788.998124999998</v>
      </c>
      <c r="L7" s="5">
        <f>'Ops Compute'!L4</f>
        <v>34209.997916666667</v>
      </c>
    </row>
    <row r="8" spans="1:12" x14ac:dyDescent="0.2">
      <c r="A8" t="s">
        <v>273</v>
      </c>
      <c r="B8" t="s">
        <v>150</v>
      </c>
      <c r="C8" s="5">
        <f t="shared" ref="C8:L8" si="0">C7</f>
        <v>3420.9997916666666</v>
      </c>
      <c r="D8" s="5">
        <f t="shared" si="0"/>
        <v>6841.9995833333332</v>
      </c>
      <c r="E8" s="5">
        <f t="shared" si="0"/>
        <v>10262.999374999999</v>
      </c>
      <c r="F8" s="5">
        <f t="shared" si="0"/>
        <v>13683.999166666666</v>
      </c>
      <c r="G8" s="5">
        <f t="shared" si="0"/>
        <v>17104.998958333334</v>
      </c>
      <c r="H8" s="5">
        <f t="shared" si="0"/>
        <v>20525.998749999999</v>
      </c>
      <c r="I8" s="5">
        <f t="shared" si="0"/>
        <v>23946.998541666668</v>
      </c>
      <c r="J8" s="5">
        <f t="shared" si="0"/>
        <v>27367.998333333333</v>
      </c>
      <c r="K8" s="5">
        <f t="shared" si="0"/>
        <v>30788.998124999998</v>
      </c>
      <c r="L8" s="5">
        <f t="shared" si="0"/>
        <v>34209.997916666667</v>
      </c>
    </row>
    <row r="9" spans="1:12" x14ac:dyDescent="0.2">
      <c r="A9" t="s">
        <v>274</v>
      </c>
      <c r="B9" t="s">
        <v>150</v>
      </c>
      <c r="C9" s="5">
        <f>'Ops Compute'!C9</f>
        <v>1188</v>
      </c>
      <c r="D9" s="5">
        <f>'Ops Compute'!D9</f>
        <v>1188</v>
      </c>
      <c r="E9" s="5">
        <f>'Ops Compute'!E9</f>
        <v>1188</v>
      </c>
      <c r="F9" s="5">
        <f>'Ops Compute'!F9</f>
        <v>1188</v>
      </c>
      <c r="G9" s="5">
        <f>'Ops Compute'!G9</f>
        <v>1188</v>
      </c>
      <c r="H9" s="5">
        <f>'Ops Compute'!H9</f>
        <v>1188</v>
      </c>
      <c r="I9" s="5">
        <f>'Ops Compute'!I9</f>
        <v>1188</v>
      </c>
      <c r="J9" s="5">
        <f>'Ops Compute'!J9</f>
        <v>1188</v>
      </c>
      <c r="K9" s="5">
        <f>'Ops Compute'!K9</f>
        <v>1188</v>
      </c>
      <c r="L9" s="5">
        <f>'Ops Compute'!L9</f>
        <v>1188</v>
      </c>
    </row>
    <row r="10" spans="1:12" x14ac:dyDescent="0.2">
      <c r="A10" t="s">
        <v>275</v>
      </c>
      <c r="B10" t="s">
        <v>150</v>
      </c>
      <c r="C10" s="5">
        <f>'Ops Compute'!C14+'Ops Compute'!C18</f>
        <v>376.30997708333337</v>
      </c>
      <c r="D10" s="5">
        <f>'Ops Compute'!D14+'Ops Compute'!D18</f>
        <v>752.61995416666673</v>
      </c>
      <c r="E10" s="5">
        <f>'Ops Compute'!E14+'Ops Compute'!E18</f>
        <v>1128.92993125</v>
      </c>
      <c r="F10" s="5">
        <f>'Ops Compute'!F14+'Ops Compute'!F18</f>
        <v>1505.2399083333335</v>
      </c>
      <c r="G10" s="5">
        <f>'Ops Compute'!G14+'Ops Compute'!G18</f>
        <v>1881.5498854166669</v>
      </c>
      <c r="H10" s="5">
        <f>'Ops Compute'!H14+'Ops Compute'!H18</f>
        <v>2257.8598625</v>
      </c>
      <c r="I10" s="5">
        <f>'Ops Compute'!I14+'Ops Compute'!I18</f>
        <v>2634.1698395833332</v>
      </c>
      <c r="J10" s="5">
        <f>'Ops Compute'!J14+'Ops Compute'!J18</f>
        <v>3010.4798166666669</v>
      </c>
      <c r="K10" s="5">
        <f>'Ops Compute'!K14+'Ops Compute'!K18</f>
        <v>3386.7897937499997</v>
      </c>
      <c r="L10" s="5">
        <f>'Ops Compute'!L14+'Ops Compute'!L18</f>
        <v>3763.0997708333339</v>
      </c>
    </row>
    <row r="11" spans="1:12" x14ac:dyDescent="0.2">
      <c r="A11" s="12" t="s">
        <v>276</v>
      </c>
      <c r="B11" t="s">
        <v>150</v>
      </c>
      <c r="C11" s="5">
        <f t="shared" ref="C11:L11" si="1">C8+C10</f>
        <v>3797.3097687499999</v>
      </c>
      <c r="D11" s="5">
        <f t="shared" si="1"/>
        <v>7594.6195374999998</v>
      </c>
      <c r="E11" s="5">
        <f t="shared" si="1"/>
        <v>11391.92930625</v>
      </c>
      <c r="F11" s="5">
        <f t="shared" si="1"/>
        <v>15189.239075</v>
      </c>
      <c r="G11" s="5">
        <f t="shared" si="1"/>
        <v>18986.548843749999</v>
      </c>
      <c r="H11" s="5">
        <f t="shared" si="1"/>
        <v>22783.8586125</v>
      </c>
      <c r="I11" s="5">
        <f t="shared" si="1"/>
        <v>26581.168381250001</v>
      </c>
      <c r="J11" s="5">
        <f t="shared" si="1"/>
        <v>30378.478149999999</v>
      </c>
      <c r="K11" s="5">
        <f t="shared" si="1"/>
        <v>34175.78791875</v>
      </c>
      <c r="L11" s="5">
        <f t="shared" si="1"/>
        <v>37973.097687499998</v>
      </c>
    </row>
    <row r="12" spans="1:12" x14ac:dyDescent="0.2">
      <c r="A12" t="s">
        <v>277</v>
      </c>
      <c r="B12" t="s">
        <v>150</v>
      </c>
      <c r="C12" s="5">
        <f>17400+MAX(0,C14)</f>
        <v>21197.309768750001</v>
      </c>
      <c r="D12" s="5">
        <f t="shared" ref="D12:L12" si="2">C12+MAX(0,D14)</f>
        <v>24994.619537500002</v>
      </c>
      <c r="E12" s="5">
        <f t="shared" si="2"/>
        <v>28791.92930625</v>
      </c>
      <c r="F12" s="5">
        <f t="shared" si="2"/>
        <v>36386.548843750003</v>
      </c>
      <c r="G12" s="5">
        <f t="shared" si="2"/>
        <v>43981.168381250005</v>
      </c>
      <c r="H12" s="5">
        <f t="shared" si="2"/>
        <v>51575.78791875</v>
      </c>
      <c r="I12" s="5">
        <f t="shared" si="2"/>
        <v>59170.407456250003</v>
      </c>
      <c r="J12" s="5">
        <f t="shared" si="2"/>
        <v>66765.026993749998</v>
      </c>
      <c r="K12" s="5">
        <f t="shared" si="2"/>
        <v>74359.646531249993</v>
      </c>
      <c r="L12" s="5">
        <f t="shared" si="2"/>
        <v>81954.266068750003</v>
      </c>
    </row>
    <row r="13" spans="1:12" x14ac:dyDescent="0.2">
      <c r="A13" t="s">
        <v>278</v>
      </c>
      <c r="B13" t="s">
        <v>150</v>
      </c>
      <c r="C13" s="5">
        <f t="shared" ref="C13:L13" si="3">C11-C12</f>
        <v>-17400</v>
      </c>
      <c r="D13" s="5">
        <f t="shared" si="3"/>
        <v>-17400.000000000004</v>
      </c>
      <c r="E13" s="5">
        <f t="shared" si="3"/>
        <v>-17400</v>
      </c>
      <c r="F13" s="5">
        <f t="shared" si="3"/>
        <v>-21197.309768750005</v>
      </c>
      <c r="G13" s="5">
        <f t="shared" si="3"/>
        <v>-24994.619537500006</v>
      </c>
      <c r="H13" s="5">
        <f t="shared" si="3"/>
        <v>-28791.92930625</v>
      </c>
      <c r="I13" s="5">
        <f t="shared" si="3"/>
        <v>-32589.239075000001</v>
      </c>
      <c r="J13" s="5">
        <f t="shared" si="3"/>
        <v>-36386.548843750003</v>
      </c>
      <c r="K13" s="5">
        <f t="shared" si="3"/>
        <v>-40183.858612499993</v>
      </c>
      <c r="L13" s="5">
        <f t="shared" si="3"/>
        <v>-43981.168381250005</v>
      </c>
    </row>
    <row r="14" spans="1:12" x14ac:dyDescent="0.2">
      <c r="A14" t="s">
        <v>279</v>
      </c>
      <c r="B14" t="s">
        <v>150</v>
      </c>
      <c r="C14" s="5">
        <f>'Ops Compute'!C34</f>
        <v>3797.3097687499999</v>
      </c>
      <c r="D14" s="5">
        <f>'Ops Compute'!D34</f>
        <v>3797.3097687499999</v>
      </c>
      <c r="E14" s="5">
        <f>'Ops Compute'!E34</f>
        <v>3797.309768749999</v>
      </c>
      <c r="F14" s="5">
        <f>'Ops Compute'!F34</f>
        <v>7594.6195375000007</v>
      </c>
      <c r="G14" s="5">
        <f>'Ops Compute'!G34</f>
        <v>7594.6195375000007</v>
      </c>
      <c r="H14" s="5">
        <f>'Ops Compute'!H34</f>
        <v>7594.619537499997</v>
      </c>
      <c r="I14" s="5">
        <f>'Ops Compute'!I34</f>
        <v>7594.6195375000034</v>
      </c>
      <c r="J14" s="5">
        <f>'Ops Compute'!J34</f>
        <v>7594.6195374999998</v>
      </c>
      <c r="K14" s="5">
        <f>'Ops Compute'!K34</f>
        <v>7594.6195374999961</v>
      </c>
      <c r="L14" s="5">
        <f>'Ops Compute'!L34</f>
        <v>7594.6195375000061</v>
      </c>
    </row>
    <row r="15" spans="1:12" x14ac:dyDescent="0.2">
      <c r="A15" t="s">
        <v>280</v>
      </c>
      <c r="B15" t="s">
        <v>169</v>
      </c>
      <c r="C15" s="5">
        <f>'Ops Compute'!C35</f>
        <v>32</v>
      </c>
      <c r="D15" s="5">
        <f>'Ops Compute'!D35</f>
        <v>32</v>
      </c>
      <c r="E15" s="5">
        <f>'Ops Compute'!E35</f>
        <v>32</v>
      </c>
      <c r="F15" s="5">
        <f>'Ops Compute'!F35</f>
        <v>64</v>
      </c>
      <c r="G15" s="5">
        <f>'Ops Compute'!G35</f>
        <v>64</v>
      </c>
      <c r="H15" s="5">
        <f>'Ops Compute'!H35</f>
        <v>64</v>
      </c>
      <c r="I15" s="5">
        <f>'Ops Compute'!I35</f>
        <v>64</v>
      </c>
      <c r="J15" s="5">
        <f>'Ops Compute'!J35</f>
        <v>64</v>
      </c>
      <c r="K15" s="5">
        <f>'Ops Compute'!K35</f>
        <v>64</v>
      </c>
      <c r="L15" s="5">
        <f>'Ops Compute'!L35</f>
        <v>64</v>
      </c>
    </row>
    <row r="16" spans="1:12" x14ac:dyDescent="0.2">
      <c r="A16" t="s">
        <v>281</v>
      </c>
      <c r="B16" t="s">
        <v>169</v>
      </c>
      <c r="C16" s="5">
        <v>75</v>
      </c>
      <c r="D16" s="5">
        <v>79</v>
      </c>
      <c r="E16" s="5">
        <v>83</v>
      </c>
      <c r="F16" s="5">
        <v>87</v>
      </c>
      <c r="G16" s="5">
        <v>91</v>
      </c>
      <c r="H16" s="5">
        <v>96</v>
      </c>
      <c r="I16" s="5">
        <v>101</v>
      </c>
      <c r="J16" s="5">
        <v>106</v>
      </c>
      <c r="K16" s="5">
        <v>111</v>
      </c>
      <c r="L16" s="5">
        <v>116</v>
      </c>
    </row>
    <row r="17" spans="1:12" x14ac:dyDescent="0.2">
      <c r="A17" t="s">
        <v>282</v>
      </c>
      <c r="B17" t="s">
        <v>169</v>
      </c>
      <c r="C17" s="5">
        <v>0</v>
      </c>
      <c r="D17" s="5">
        <f t="shared" ref="D17:L17" si="4">MAX(0,D16-C16)</f>
        <v>4</v>
      </c>
      <c r="E17" s="5">
        <f t="shared" si="4"/>
        <v>4</v>
      </c>
      <c r="F17" s="5">
        <f t="shared" si="4"/>
        <v>4</v>
      </c>
      <c r="G17" s="5">
        <f t="shared" si="4"/>
        <v>4</v>
      </c>
      <c r="H17" s="5">
        <f t="shared" si="4"/>
        <v>5</v>
      </c>
      <c r="I17" s="5">
        <f t="shared" si="4"/>
        <v>5</v>
      </c>
      <c r="J17" s="5">
        <f t="shared" si="4"/>
        <v>5</v>
      </c>
      <c r="K17" s="5">
        <f t="shared" si="4"/>
        <v>5</v>
      </c>
      <c r="L17" s="5">
        <f t="shared" si="4"/>
        <v>5</v>
      </c>
    </row>
    <row r="18" spans="1:12" x14ac:dyDescent="0.2">
      <c r="A18" t="s">
        <v>283</v>
      </c>
      <c r="B18" t="s">
        <v>169</v>
      </c>
      <c r="C18" s="5">
        <f>'Ops Compute'!C27</f>
        <v>82</v>
      </c>
      <c r="D18" s="5">
        <f>'Ops Compute'!D27</f>
        <v>133</v>
      </c>
      <c r="E18" s="5">
        <f>'Ops Compute'!E27</f>
        <v>-15</v>
      </c>
      <c r="F18" s="5">
        <f>'Ops Compute'!F27</f>
        <v>162</v>
      </c>
      <c r="G18" s="5">
        <f>'Ops Compute'!G27</f>
        <v>215</v>
      </c>
      <c r="H18" s="5">
        <f>'Ops Compute'!H27</f>
        <v>72</v>
      </c>
      <c r="I18" s="5">
        <f>'Ops Compute'!I27</f>
        <v>-99</v>
      </c>
      <c r="J18" s="5">
        <f>'Ops Compute'!J27</f>
        <v>129</v>
      </c>
      <c r="K18" s="5">
        <f>'Ops Compute'!K27</f>
        <v>136</v>
      </c>
      <c r="L18" s="5">
        <f>'Ops Compute'!L27</f>
        <v>-128</v>
      </c>
    </row>
    <row r="20" spans="1:12" x14ac:dyDescent="0.2">
      <c r="A20" s="3" t="s">
        <v>284</v>
      </c>
    </row>
    <row r="21" spans="1:12" x14ac:dyDescent="0.2">
      <c r="A21" t="s">
        <v>285</v>
      </c>
      <c r="B21" t="s">
        <v>90</v>
      </c>
      <c r="C21" s="6">
        <f>'Ops Storage'!C51</f>
        <v>352.998947368421</v>
      </c>
      <c r="D21" s="6">
        <f>'Ops Storage'!D51</f>
        <v>543.41644736842102</v>
      </c>
      <c r="E21" s="6">
        <f>'Ops Storage'!E51</f>
        <v>758.90164736842098</v>
      </c>
      <c r="F21" s="6">
        <f>'Ops Storage'!F51</f>
        <v>840.04744736842099</v>
      </c>
      <c r="G21" s="6">
        <f>'Ops Storage'!G51</f>
        <v>907.87234736842106</v>
      </c>
      <c r="H21" s="6">
        <f>'Ops Storage'!H51</f>
        <v>971.03374736842102</v>
      </c>
      <c r="I21" s="6">
        <f>'Ops Storage'!I51</f>
        <v>1031.483147368421</v>
      </c>
      <c r="J21" s="6">
        <f>'Ops Storage'!J51</f>
        <v>1090.839047368421</v>
      </c>
      <c r="K21" s="6">
        <f>'Ops Storage'!K51</f>
        <v>1147.386047368421</v>
      </c>
      <c r="L21" s="6">
        <f>'Ops Storage'!L51</f>
        <v>1202.1690473684209</v>
      </c>
    </row>
    <row r="22" spans="1:12" x14ac:dyDescent="0.2">
      <c r="A22" t="s">
        <v>286</v>
      </c>
      <c r="B22" t="s">
        <v>90</v>
      </c>
      <c r="C22" s="6">
        <f>C21</f>
        <v>352.998947368421</v>
      </c>
      <c r="D22" s="6">
        <f t="shared" ref="D22:L22" si="5">MAX(0,D21-C21)</f>
        <v>190.41750000000002</v>
      </c>
      <c r="E22" s="6">
        <f t="shared" si="5"/>
        <v>215.48519999999996</v>
      </c>
      <c r="F22" s="6">
        <f t="shared" si="5"/>
        <v>81.145800000000008</v>
      </c>
      <c r="G22" s="6">
        <f t="shared" si="5"/>
        <v>67.824900000000071</v>
      </c>
      <c r="H22" s="6">
        <f t="shared" si="5"/>
        <v>63.161399999999958</v>
      </c>
      <c r="I22" s="6">
        <f t="shared" si="5"/>
        <v>60.449399999999969</v>
      </c>
      <c r="J22" s="6">
        <f t="shared" si="5"/>
        <v>59.35590000000002</v>
      </c>
      <c r="K22" s="6">
        <f t="shared" si="5"/>
        <v>56.547000000000025</v>
      </c>
      <c r="L22" s="6">
        <f t="shared" si="5"/>
        <v>54.782999999999902</v>
      </c>
    </row>
    <row r="23" spans="1:12" x14ac:dyDescent="0.2">
      <c r="A23" t="s">
        <v>287</v>
      </c>
      <c r="B23" t="s">
        <v>90</v>
      </c>
      <c r="C23" s="6">
        <f>'Ops Storage'!C53</f>
        <v>14825.166604827285</v>
      </c>
      <c r="D23" s="6">
        <f>'Ops Storage'!D53</f>
        <v>19087.772404827283</v>
      </c>
      <c r="E23" s="6">
        <f>'Ops Storage'!E53</f>
        <v>23282.067604827287</v>
      </c>
      <c r="F23" s="6">
        <f>'Ops Storage'!F53</f>
        <v>27400.795924827285</v>
      </c>
      <c r="G23" s="6">
        <f>'Ops Storage'!G53</f>
        <v>31328.527684827284</v>
      </c>
      <c r="H23" s="6">
        <f>'Ops Storage'!H53</f>
        <v>35366.461924827287</v>
      </c>
      <c r="I23" s="6">
        <f>'Ops Storage'!I53</f>
        <v>39558.541684827287</v>
      </c>
      <c r="J23" s="6">
        <f>'Ops Storage'!J53</f>
        <v>43893.531364827286</v>
      </c>
      <c r="K23" s="6">
        <f>'Ops Storage'!K53</f>
        <v>48322.029604827279</v>
      </c>
      <c r="L23" s="6">
        <f>'Ops Storage'!L53</f>
        <v>52896.92040482728</v>
      </c>
    </row>
    <row r="24" spans="1:12" x14ac:dyDescent="0.2">
      <c r="A24" t="s">
        <v>288</v>
      </c>
      <c r="B24" t="s">
        <v>90</v>
      </c>
      <c r="C24" s="6">
        <f>C23</f>
        <v>14825.166604827285</v>
      </c>
      <c r="D24" s="6">
        <f t="shared" ref="D24:L24" si="6">MAX(0,D23-C23)</f>
        <v>4262.6057999999975</v>
      </c>
      <c r="E24" s="6">
        <f t="shared" si="6"/>
        <v>4194.2952000000041</v>
      </c>
      <c r="F24" s="6">
        <f t="shared" si="6"/>
        <v>4118.7283199999983</v>
      </c>
      <c r="G24" s="6">
        <f t="shared" si="6"/>
        <v>3927.7317599999988</v>
      </c>
      <c r="H24" s="6">
        <f t="shared" si="6"/>
        <v>4037.9342400000023</v>
      </c>
      <c r="I24" s="6">
        <f t="shared" si="6"/>
        <v>4192.0797600000005</v>
      </c>
      <c r="J24" s="6">
        <f t="shared" si="6"/>
        <v>4334.9896799999988</v>
      </c>
      <c r="K24" s="6">
        <f t="shared" si="6"/>
        <v>4428.4982399999935</v>
      </c>
      <c r="L24" s="6">
        <f t="shared" si="6"/>
        <v>4574.890800000001</v>
      </c>
    </row>
    <row r="25" spans="1:12" x14ac:dyDescent="0.2">
      <c r="A25" t="s">
        <v>289</v>
      </c>
      <c r="B25" t="s">
        <v>90</v>
      </c>
      <c r="C25" s="6">
        <f>'Ops Storage'!C61</f>
        <v>8077.8950767680008</v>
      </c>
      <c r="D25" s="6">
        <f>'Ops Storage'!D61</f>
        <v>16155.790153536002</v>
      </c>
      <c r="E25" s="6">
        <f>'Ops Storage'!E61</f>
        <v>21472.983230304002</v>
      </c>
      <c r="F25" s="6">
        <f>'Ops Storage'!F61</f>
        <v>22792.376307072002</v>
      </c>
      <c r="G25" s="6">
        <f>'Ops Storage'!G61</f>
        <v>24111.769383840001</v>
      </c>
      <c r="H25" s="6">
        <f>'Ops Storage'!H61</f>
        <v>25431.162460608</v>
      </c>
      <c r="I25" s="6">
        <f>'Ops Storage'!I61</f>
        <v>26750.555537376</v>
      </c>
      <c r="J25" s="6">
        <f>'Ops Storage'!J61</f>
        <v>28069.948614143999</v>
      </c>
      <c r="K25" s="6">
        <f>'Ops Storage'!K61</f>
        <v>29389.341690911999</v>
      </c>
      <c r="L25" s="6">
        <f>'Ops Storage'!L61</f>
        <v>30708.734767679998</v>
      </c>
    </row>
    <row r="26" spans="1:12" x14ac:dyDescent="0.2">
      <c r="A26" t="s">
        <v>290</v>
      </c>
      <c r="B26" t="s">
        <v>90</v>
      </c>
      <c r="C26" s="6">
        <f>C25</f>
        <v>8077.8950767680008</v>
      </c>
      <c r="D26" s="6">
        <f t="shared" ref="D26:L26" si="7">MAX(0,D25-C25)</f>
        <v>8077.8950767680008</v>
      </c>
      <c r="E26" s="6">
        <f t="shared" si="7"/>
        <v>5317.1930767680005</v>
      </c>
      <c r="F26" s="6">
        <f t="shared" si="7"/>
        <v>1319.3930767679994</v>
      </c>
      <c r="G26" s="6">
        <f t="shared" si="7"/>
        <v>1319.3930767679994</v>
      </c>
      <c r="H26" s="6">
        <f t="shared" si="7"/>
        <v>1319.3930767679994</v>
      </c>
      <c r="I26" s="6">
        <f t="shared" si="7"/>
        <v>1319.3930767679994</v>
      </c>
      <c r="J26" s="6">
        <f t="shared" si="7"/>
        <v>1319.3930767679994</v>
      </c>
      <c r="K26" s="6">
        <f t="shared" si="7"/>
        <v>1319.3930767679994</v>
      </c>
      <c r="L26" s="6">
        <f t="shared" si="7"/>
        <v>1319.3930767679994</v>
      </c>
    </row>
    <row r="27" spans="1:12" x14ac:dyDescent="0.2">
      <c r="A27" t="s">
        <v>291</v>
      </c>
      <c r="B27" t="s">
        <v>90</v>
      </c>
      <c r="C27" s="6">
        <f>'Ops Storage'!C55</f>
        <v>3509.5635000000002</v>
      </c>
      <c r="D27" s="6">
        <f>'Ops Storage'!D55</f>
        <v>9257.3009999999995</v>
      </c>
      <c r="E27" s="6">
        <f>'Ops Storage'!E55</f>
        <v>17275.216799999998</v>
      </c>
      <c r="F27" s="6">
        <f>'Ops Storage'!F55</f>
        <v>24143.7621</v>
      </c>
      <c r="G27" s="6">
        <f>'Ops Storage'!G55</f>
        <v>31276.566599999998</v>
      </c>
      <c r="H27" s="6">
        <f>'Ops Storage'!H55</f>
        <v>38733.733800000002</v>
      </c>
      <c r="I27" s="6">
        <f>'Ops Storage'!I55</f>
        <v>46554.739199999996</v>
      </c>
      <c r="J27" s="6">
        <f>'Ops Storage'!J55</f>
        <v>54716.219700000001</v>
      </c>
      <c r="K27" s="6">
        <f>'Ops Storage'!K55</f>
        <v>63205.979100000004</v>
      </c>
      <c r="L27" s="6">
        <f>'Ops Storage'!L55</f>
        <v>72016.511700000003</v>
      </c>
    </row>
    <row r="28" spans="1:12" x14ac:dyDescent="0.2">
      <c r="A28" t="s">
        <v>292</v>
      </c>
      <c r="B28" t="s">
        <v>90</v>
      </c>
      <c r="C28" s="6">
        <f>C27</f>
        <v>3509.5635000000002</v>
      </c>
      <c r="D28" s="6">
        <f t="shared" ref="D28:L28" si="8">MAX(0,D27-C27)</f>
        <v>5747.7374999999993</v>
      </c>
      <c r="E28" s="6">
        <f t="shared" si="8"/>
        <v>8017.9157999999989</v>
      </c>
      <c r="F28" s="6">
        <f t="shared" si="8"/>
        <v>6868.5453000000016</v>
      </c>
      <c r="G28" s="6">
        <f t="shared" si="8"/>
        <v>7132.8044999999984</v>
      </c>
      <c r="H28" s="6">
        <f t="shared" si="8"/>
        <v>7457.1672000000035</v>
      </c>
      <c r="I28" s="6">
        <f t="shared" si="8"/>
        <v>7821.0053999999946</v>
      </c>
      <c r="J28" s="6">
        <f t="shared" si="8"/>
        <v>8161.4805000000051</v>
      </c>
      <c r="K28" s="6">
        <f t="shared" si="8"/>
        <v>8489.7594000000026</v>
      </c>
      <c r="L28" s="6">
        <f t="shared" si="8"/>
        <v>8810.5325999999986</v>
      </c>
    </row>
    <row r="30" spans="1:12" x14ac:dyDescent="0.2">
      <c r="A30" s="12" t="s">
        <v>293</v>
      </c>
      <c r="B30" t="s">
        <v>90</v>
      </c>
      <c r="C30" s="6">
        <f t="shared" ref="C30:L30" si="9">C21+C23+C25+C27</f>
        <v>26765.624128963707</v>
      </c>
      <c r="D30" s="6">
        <f t="shared" si="9"/>
        <v>45044.280005731707</v>
      </c>
      <c r="E30" s="6">
        <f t="shared" si="9"/>
        <v>62789.169282499701</v>
      </c>
      <c r="F30" s="6">
        <f t="shared" si="9"/>
        <v>75176.98177926772</v>
      </c>
      <c r="G30" s="6">
        <f t="shared" si="9"/>
        <v>87624.736016035706</v>
      </c>
      <c r="H30" s="6">
        <f t="shared" si="9"/>
        <v>100502.3919328037</v>
      </c>
      <c r="I30" s="6">
        <f t="shared" si="9"/>
        <v>113895.31956957171</v>
      </c>
      <c r="J30" s="6">
        <f t="shared" si="9"/>
        <v>127770.53872633971</v>
      </c>
      <c r="K30" s="6">
        <f t="shared" si="9"/>
        <v>142064.73644310769</v>
      </c>
      <c r="L30" s="6">
        <f t="shared" si="9"/>
        <v>156824.33591987571</v>
      </c>
    </row>
    <row r="31" spans="1:12" x14ac:dyDescent="0.2">
      <c r="A31" t="s">
        <v>294</v>
      </c>
      <c r="B31" t="s">
        <v>90</v>
      </c>
      <c r="C31" s="6">
        <f>30000+C32</f>
        <v>30000</v>
      </c>
      <c r="D31" s="6">
        <f t="shared" ref="D31:L31" si="10">C31+D32</f>
        <v>45044.280005731707</v>
      </c>
      <c r="E31" s="6">
        <f t="shared" si="10"/>
        <v>62789.169282499701</v>
      </c>
      <c r="F31" s="6">
        <f t="shared" si="10"/>
        <v>75176.98177926772</v>
      </c>
      <c r="G31" s="6">
        <f t="shared" si="10"/>
        <v>87624.736016035706</v>
      </c>
      <c r="H31" s="6">
        <f t="shared" si="10"/>
        <v>100502.3919328037</v>
      </c>
      <c r="I31" s="6">
        <f t="shared" si="10"/>
        <v>113895.31956957171</v>
      </c>
      <c r="J31" s="6">
        <f t="shared" si="10"/>
        <v>127770.53872633971</v>
      </c>
      <c r="K31" s="6">
        <f t="shared" si="10"/>
        <v>142064.73644310769</v>
      </c>
      <c r="L31" s="6">
        <f t="shared" si="10"/>
        <v>156824.33591987571</v>
      </c>
    </row>
    <row r="32" spans="1:12" x14ac:dyDescent="0.2">
      <c r="A32" s="12" t="s">
        <v>295</v>
      </c>
      <c r="B32" t="s">
        <v>90</v>
      </c>
      <c r="C32" s="6">
        <f>MAX(0,C30-30000)</f>
        <v>0</v>
      </c>
      <c r="D32" s="6">
        <f t="shared" ref="D32:L32" si="11">MAX(0,D30-C31)</f>
        <v>15044.280005731707</v>
      </c>
      <c r="E32" s="6">
        <f t="shared" si="11"/>
        <v>17744.889276767994</v>
      </c>
      <c r="F32" s="6">
        <f t="shared" si="11"/>
        <v>12387.81249676802</v>
      </c>
      <c r="G32" s="6">
        <f t="shared" si="11"/>
        <v>12447.754236767985</v>
      </c>
      <c r="H32" s="6">
        <f t="shared" si="11"/>
        <v>12877.655916767995</v>
      </c>
      <c r="I32" s="6">
        <f t="shared" si="11"/>
        <v>13392.927636768014</v>
      </c>
      <c r="J32" s="6">
        <f t="shared" si="11"/>
        <v>13875.219156767998</v>
      </c>
      <c r="K32" s="6">
        <f t="shared" si="11"/>
        <v>14294.197716767972</v>
      </c>
      <c r="L32" s="6">
        <f t="shared" si="11"/>
        <v>14759.599476768024</v>
      </c>
    </row>
    <row r="33" spans="1:12" x14ac:dyDescent="0.2">
      <c r="A33" t="s">
        <v>296</v>
      </c>
      <c r="B33" t="s">
        <v>297</v>
      </c>
      <c r="C33" s="6">
        <f t="shared" ref="C33:L33" si="12">C32/1000</f>
        <v>0</v>
      </c>
      <c r="D33" s="6">
        <f t="shared" si="12"/>
        <v>15.044280005731707</v>
      </c>
      <c r="E33" s="6">
        <f t="shared" si="12"/>
        <v>17.744889276767992</v>
      </c>
      <c r="F33" s="6">
        <f t="shared" si="12"/>
        <v>12.387812496768019</v>
      </c>
      <c r="G33" s="6">
        <f t="shared" si="12"/>
        <v>12.447754236767985</v>
      </c>
      <c r="H33" s="6">
        <f t="shared" si="12"/>
        <v>12.877655916767996</v>
      </c>
      <c r="I33" s="6">
        <f t="shared" si="12"/>
        <v>13.392927636768015</v>
      </c>
      <c r="J33" s="6">
        <f t="shared" si="12"/>
        <v>13.875219156767999</v>
      </c>
      <c r="K33" s="6">
        <f t="shared" si="12"/>
        <v>14.294197716767972</v>
      </c>
      <c r="L33" s="6">
        <f t="shared" si="12"/>
        <v>14.759599476768024</v>
      </c>
    </row>
    <row r="35" spans="1:12" x14ac:dyDescent="0.2">
      <c r="A35" t="s">
        <v>298</v>
      </c>
      <c r="B35" t="s">
        <v>90</v>
      </c>
      <c r="C35" s="6">
        <f>'Ops Storage'!C66</f>
        <v>14778.316181595284</v>
      </c>
      <c r="D35" s="6">
        <f>'Ops Storage'!D66</f>
        <v>31547.066663190566</v>
      </c>
      <c r="E35" s="6">
        <f>'Ops Storage'!E66</f>
        <v>50214.866344785856</v>
      </c>
      <c r="F35" s="6">
        <f>'Ops Storage'!F66</f>
        <v>70619.120746381144</v>
      </c>
      <c r="G35" s="6">
        <f>'Ops Storage'!G66</f>
        <v>92427.997107976436</v>
      </c>
      <c r="H35" s="6">
        <f>'Ops Storage'!H66</f>
        <v>115659.86250957171</v>
      </c>
      <c r="I35" s="6">
        <f>'Ops Storage'!I66</f>
        <v>140340.407871167</v>
      </c>
      <c r="J35" s="6">
        <f>'Ops Storage'!J66</f>
        <v>166493.45151276229</v>
      </c>
      <c r="K35" s="6">
        <f>'Ops Storage'!K66</f>
        <v>194134.57819435757</v>
      </c>
      <c r="L35" s="6">
        <f>'Ops Storage'!L66</f>
        <v>223288.18667595286</v>
      </c>
    </row>
    <row r="36" spans="1:12" x14ac:dyDescent="0.2">
      <c r="A36" s="12" t="s">
        <v>299</v>
      </c>
      <c r="B36" t="s">
        <v>90</v>
      </c>
      <c r="C36" s="6">
        <f>C35</f>
        <v>14778.316181595284</v>
      </c>
      <c r="D36" s="6">
        <f t="shared" ref="D36:L36" si="13">MAX(0,D35-C35)</f>
        <v>16768.750481595282</v>
      </c>
      <c r="E36" s="6">
        <f t="shared" si="13"/>
        <v>18667.79968159529</v>
      </c>
      <c r="F36" s="6">
        <f t="shared" si="13"/>
        <v>20404.254401595288</v>
      </c>
      <c r="G36" s="6">
        <f t="shared" si="13"/>
        <v>21808.876361595292</v>
      </c>
      <c r="H36" s="6">
        <f t="shared" si="13"/>
        <v>23231.865401595278</v>
      </c>
      <c r="I36" s="6">
        <f t="shared" si="13"/>
        <v>24680.545361595287</v>
      </c>
      <c r="J36" s="6">
        <f t="shared" si="13"/>
        <v>26153.043641595286</v>
      </c>
      <c r="K36" s="6">
        <f t="shared" si="13"/>
        <v>27641.126681595284</v>
      </c>
      <c r="L36" s="6">
        <f t="shared" si="13"/>
        <v>29153.608481595293</v>
      </c>
    </row>
    <row r="37" spans="1:12" x14ac:dyDescent="0.2">
      <c r="A37" t="s">
        <v>300</v>
      </c>
      <c r="B37" t="s">
        <v>297</v>
      </c>
      <c r="C37" s="6">
        <f t="shared" ref="C37:L37" si="14">C36/1000</f>
        <v>14.778316181595285</v>
      </c>
      <c r="D37" s="6">
        <f t="shared" si="14"/>
        <v>16.76875048159528</v>
      </c>
      <c r="E37" s="6">
        <f t="shared" si="14"/>
        <v>18.667799681595291</v>
      </c>
      <c r="F37" s="6">
        <f t="shared" si="14"/>
        <v>20.404254401595288</v>
      </c>
      <c r="G37" s="6">
        <f t="shared" si="14"/>
        <v>21.808876361595292</v>
      </c>
      <c r="H37" s="6">
        <f t="shared" si="14"/>
        <v>23.231865401595279</v>
      </c>
      <c r="I37" s="6">
        <f t="shared" si="14"/>
        <v>24.680545361595286</v>
      </c>
      <c r="J37" s="6">
        <f t="shared" si="14"/>
        <v>26.153043641595286</v>
      </c>
      <c r="K37" s="6">
        <f t="shared" si="14"/>
        <v>27.641126681595285</v>
      </c>
      <c r="L37" s="6">
        <f t="shared" si="14"/>
        <v>29.153608481595292</v>
      </c>
    </row>
    <row r="39" spans="1:12" ht="16" x14ac:dyDescent="0.2">
      <c r="A39" s="13" t="s">
        <v>301</v>
      </c>
      <c r="B39" t="s">
        <v>90</v>
      </c>
      <c r="C39" s="6">
        <f t="shared" ref="C39:L39" si="15">C32+C36</f>
        <v>14778.316181595284</v>
      </c>
      <c r="D39" s="6">
        <f t="shared" si="15"/>
        <v>31813.030487326989</v>
      </c>
      <c r="E39" s="6">
        <f t="shared" si="15"/>
        <v>36412.688958363287</v>
      </c>
      <c r="F39" s="6">
        <f t="shared" si="15"/>
        <v>32792.066898363308</v>
      </c>
      <c r="G39" s="6">
        <f t="shared" si="15"/>
        <v>34256.630598363277</v>
      </c>
      <c r="H39" s="6">
        <f t="shared" si="15"/>
        <v>36109.521318363273</v>
      </c>
      <c r="I39" s="6">
        <f t="shared" si="15"/>
        <v>38073.472998363301</v>
      </c>
      <c r="J39" s="6">
        <f t="shared" si="15"/>
        <v>40028.262798363285</v>
      </c>
      <c r="K39" s="6">
        <f t="shared" si="15"/>
        <v>41935.324398363256</v>
      </c>
      <c r="L39" s="6">
        <f t="shared" si="15"/>
        <v>43913.207958363317</v>
      </c>
    </row>
    <row r="40" spans="1:12" x14ac:dyDescent="0.2">
      <c r="A40" t="s">
        <v>302</v>
      </c>
      <c r="B40" t="s">
        <v>297</v>
      </c>
      <c r="C40" s="6">
        <f t="shared" ref="C40:L40" si="16">C39/1000</f>
        <v>14.778316181595285</v>
      </c>
      <c r="D40" s="6">
        <f t="shared" si="16"/>
        <v>31.813030487326987</v>
      </c>
      <c r="E40" s="6">
        <f t="shared" si="16"/>
        <v>36.41268895836329</v>
      </c>
      <c r="F40" s="6">
        <f t="shared" si="16"/>
        <v>32.792066898363309</v>
      </c>
      <c r="G40" s="6">
        <f t="shared" si="16"/>
        <v>34.25663059836328</v>
      </c>
      <c r="H40" s="6">
        <f t="shared" si="16"/>
        <v>36.109521318363271</v>
      </c>
      <c r="I40" s="6">
        <f t="shared" si="16"/>
        <v>38.0734729983633</v>
      </c>
      <c r="J40" s="6">
        <f t="shared" si="16"/>
        <v>40.028262798363286</v>
      </c>
      <c r="K40" s="6">
        <f t="shared" si="16"/>
        <v>41.935324398363257</v>
      </c>
      <c r="L40" s="6">
        <f t="shared" si="16"/>
        <v>43.913207958363316</v>
      </c>
    </row>
    <row r="42" spans="1:12" ht="17" x14ac:dyDescent="0.2">
      <c r="A42" s="10" t="s">
        <v>303</v>
      </c>
    </row>
    <row r="43" spans="1:12" x14ac:dyDescent="0.2">
      <c r="A43" t="s">
        <v>304</v>
      </c>
      <c r="B43">
        <v>3</v>
      </c>
    </row>
    <row r="44" spans="1:12" x14ac:dyDescent="0.2">
      <c r="A44" t="s">
        <v>305</v>
      </c>
      <c r="B44">
        <v>9</v>
      </c>
    </row>
    <row r="45" spans="1:12" x14ac:dyDescent="0.2">
      <c r="A45" t="s">
        <v>306</v>
      </c>
      <c r="B45" t="s">
        <v>307</v>
      </c>
    </row>
    <row r="47" spans="1:12" x14ac:dyDescent="0.2">
      <c r="A47" t="s">
        <v>308</v>
      </c>
      <c r="B47" s="5">
        <f>ROUND('Ops Compute'!C3*0.1,0)</f>
        <v>1642080</v>
      </c>
    </row>
    <row r="48" spans="1:12" x14ac:dyDescent="0.2">
      <c r="A48" t="s">
        <v>309</v>
      </c>
      <c r="B48" s="5">
        <f>ROUND(B47/4800,0)</f>
        <v>342</v>
      </c>
    </row>
    <row r="49" spans="1:2" x14ac:dyDescent="0.2">
      <c r="A49" t="s">
        <v>310</v>
      </c>
      <c r="B49" s="5">
        <v>17400</v>
      </c>
    </row>
    <row r="50" spans="1:2" x14ac:dyDescent="0.2">
      <c r="A50" t="s">
        <v>311</v>
      </c>
      <c r="B50" t="str">
        <f>IF(B49&gt;=B48,"Sufficient — no purchase needed","Gap: "&amp;TEXT(B48-B49,"#,##0")&amp;" cores")</f>
        <v>Sufficient — no purchase needed</v>
      </c>
    </row>
    <row r="52" spans="1:2" x14ac:dyDescent="0.2">
      <c r="A52" t="s">
        <v>312</v>
      </c>
      <c r="B52">
        <v>30</v>
      </c>
    </row>
    <row r="53" spans="1:2" x14ac:dyDescent="0.2">
      <c r="A53" t="s">
        <v>313</v>
      </c>
      <c r="B53" s="6">
        <f>C30</f>
        <v>26765.624128963707</v>
      </c>
    </row>
    <row r="54" spans="1:2" x14ac:dyDescent="0.2">
      <c r="A54" t="s">
        <v>314</v>
      </c>
      <c r="B54" s="6">
        <f>C32</f>
        <v>0</v>
      </c>
    </row>
    <row r="55" spans="1:2" x14ac:dyDescent="0.2">
      <c r="A55" t="s">
        <v>315</v>
      </c>
      <c r="B55" s="14">
        <f>B54/1000</f>
        <v>0</v>
      </c>
    </row>
    <row r="56" spans="1:2" x14ac:dyDescent="0.2">
      <c r="A56" t="s">
        <v>316</v>
      </c>
      <c r="B56" s="6">
        <f>C36</f>
        <v>14778.316181595284</v>
      </c>
    </row>
    <row r="58" spans="1:2" x14ac:dyDescent="0.2">
      <c r="A58" s="15" t="s">
        <v>317</v>
      </c>
    </row>
    <row r="59" spans="1:2" x14ac:dyDescent="0.2">
      <c r="A59" t="s">
        <v>318</v>
      </c>
      <c r="B59">
        <f>C15</f>
        <v>32</v>
      </c>
    </row>
    <row r="60" spans="1:2" x14ac:dyDescent="0.2">
      <c r="A60" t="s">
        <v>319</v>
      </c>
      <c r="B60">
        <f>C17</f>
        <v>0</v>
      </c>
    </row>
    <row r="61" spans="1:2" x14ac:dyDescent="0.2">
      <c r="A61" t="s">
        <v>320</v>
      </c>
      <c r="B61">
        <f>C18</f>
        <v>82</v>
      </c>
    </row>
    <row r="62" spans="1:2" x14ac:dyDescent="0.2">
      <c r="A62" t="s">
        <v>321</v>
      </c>
      <c r="B62" s="14">
        <f>B55</f>
        <v>0</v>
      </c>
    </row>
    <row r="63" spans="1:2" x14ac:dyDescent="0.2">
      <c r="A63" t="s">
        <v>322</v>
      </c>
      <c r="B63" s="14">
        <f>B56/1000</f>
        <v>14.778316181595285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L29"/>
  <sheetViews>
    <sheetView workbookViewId="0"/>
  </sheetViews>
  <sheetFormatPr baseColWidth="10" defaultColWidth="8.83203125" defaultRowHeight="15" x14ac:dyDescent="0.2"/>
  <cols>
    <col min="1" max="1" width="40" customWidth="1"/>
    <col min="2" max="2" width="14" customWidth="1"/>
    <col min="3" max="12" width="18" customWidth="1"/>
  </cols>
  <sheetData>
    <row r="1" spans="1:12" ht="19" x14ac:dyDescent="0.25">
      <c r="A1" s="1" t="s">
        <v>323</v>
      </c>
    </row>
    <row r="2" spans="1:12" ht="16" x14ac:dyDescent="0.2">
      <c r="A2" s="2" t="s">
        <v>248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</row>
    <row r="3" spans="1:12" x14ac:dyDescent="0.2">
      <c r="A3" t="s">
        <v>249</v>
      </c>
      <c r="C3" t="s">
        <v>250</v>
      </c>
      <c r="D3" t="s">
        <v>251</v>
      </c>
      <c r="E3" t="s">
        <v>252</v>
      </c>
      <c r="F3" t="s">
        <v>253</v>
      </c>
      <c r="G3" t="s">
        <v>254</v>
      </c>
      <c r="H3" t="s">
        <v>255</v>
      </c>
      <c r="I3" t="s">
        <v>256</v>
      </c>
      <c r="J3" t="s">
        <v>257</v>
      </c>
      <c r="K3" t="s">
        <v>258</v>
      </c>
      <c r="L3" t="s">
        <v>259</v>
      </c>
    </row>
    <row r="4" spans="1:12" x14ac:dyDescent="0.2">
      <c r="A4" t="s">
        <v>260</v>
      </c>
      <c r="C4" t="s">
        <v>261</v>
      </c>
      <c r="D4" t="s">
        <v>262</v>
      </c>
      <c r="E4" t="s">
        <v>263</v>
      </c>
      <c r="F4" t="s">
        <v>264</v>
      </c>
      <c r="G4" t="s">
        <v>265</v>
      </c>
      <c r="H4" t="s">
        <v>266</v>
      </c>
      <c r="I4" t="s">
        <v>267</v>
      </c>
      <c r="J4" t="s">
        <v>268</v>
      </c>
      <c r="K4" t="s">
        <v>269</v>
      </c>
      <c r="L4" t="s">
        <v>270</v>
      </c>
    </row>
    <row r="6" spans="1:12" x14ac:dyDescent="0.2">
      <c r="A6" s="3" t="s">
        <v>324</v>
      </c>
    </row>
    <row r="7" spans="1:12" x14ac:dyDescent="0.2">
      <c r="A7" t="s">
        <v>325</v>
      </c>
      <c r="B7" t="s">
        <v>326</v>
      </c>
      <c r="C7" s="5">
        <f>'Ops Compute'!C3</f>
        <v>16420799</v>
      </c>
      <c r="D7" s="5">
        <f>'Ops Compute'!D3</f>
        <v>32841598</v>
      </c>
      <c r="E7" s="5">
        <f>'Ops Compute'!E3</f>
        <v>49262397</v>
      </c>
      <c r="F7" s="5">
        <f>'Ops Compute'!F3</f>
        <v>65683196</v>
      </c>
      <c r="G7" s="5">
        <f>'Ops Compute'!G3</f>
        <v>82103995</v>
      </c>
      <c r="H7" s="5">
        <f>'Ops Compute'!H3</f>
        <v>98524794</v>
      </c>
      <c r="I7" s="5">
        <f>'Ops Compute'!I3</f>
        <v>114945593</v>
      </c>
      <c r="J7" s="5">
        <f>'Ops Compute'!J3</f>
        <v>131366392</v>
      </c>
      <c r="K7" s="5">
        <f>'Ops Compute'!K3</f>
        <v>147787191</v>
      </c>
      <c r="L7" s="5">
        <f>'Ops Compute'!L3</f>
        <v>164207990</v>
      </c>
    </row>
    <row r="8" spans="1:12" x14ac:dyDescent="0.2">
      <c r="A8" t="s">
        <v>327</v>
      </c>
      <c r="B8" t="s">
        <v>150</v>
      </c>
      <c r="C8" s="5">
        <f>'Ops Compute'!C4</f>
        <v>3420.9997916666666</v>
      </c>
      <c r="D8" s="5">
        <f>'Ops Compute'!D4</f>
        <v>6841.9995833333332</v>
      </c>
      <c r="E8" s="5">
        <f>'Ops Compute'!E4</f>
        <v>10262.999374999999</v>
      </c>
      <c r="F8" s="5">
        <f>'Ops Compute'!F4</f>
        <v>13683.999166666666</v>
      </c>
      <c r="G8" s="5">
        <f>'Ops Compute'!G4</f>
        <v>17104.998958333334</v>
      </c>
      <c r="H8" s="5">
        <f>'Ops Compute'!H4</f>
        <v>20525.998749999999</v>
      </c>
      <c r="I8" s="5">
        <f>'Ops Compute'!I4</f>
        <v>23946.998541666668</v>
      </c>
      <c r="J8" s="5">
        <f>'Ops Compute'!J4</f>
        <v>27367.998333333333</v>
      </c>
      <c r="K8" s="5">
        <f>'Ops Compute'!K4</f>
        <v>30788.998124999998</v>
      </c>
      <c r="L8" s="5">
        <f>'Ops Compute'!L4</f>
        <v>34209.997916666667</v>
      </c>
    </row>
    <row r="9" spans="1:12" x14ac:dyDescent="0.2">
      <c r="A9" s="12" t="s">
        <v>328</v>
      </c>
    </row>
    <row r="10" spans="1:12" x14ac:dyDescent="0.2">
      <c r="A10" t="s">
        <v>329</v>
      </c>
      <c r="B10" t="s">
        <v>150</v>
      </c>
      <c r="C10" s="5">
        <f t="shared" ref="C10:L10" si="0">ROUND(C8*0.35,0)</f>
        <v>1197</v>
      </c>
      <c r="D10" s="5">
        <f t="shared" si="0"/>
        <v>2395</v>
      </c>
      <c r="E10" s="5">
        <f t="shared" si="0"/>
        <v>3592</v>
      </c>
      <c r="F10" s="5">
        <f t="shared" si="0"/>
        <v>4789</v>
      </c>
      <c r="G10" s="5">
        <f t="shared" si="0"/>
        <v>5987</v>
      </c>
      <c r="H10" s="5">
        <f t="shared" si="0"/>
        <v>7184</v>
      </c>
      <c r="I10" s="5">
        <f t="shared" si="0"/>
        <v>8381</v>
      </c>
      <c r="J10" s="5">
        <f t="shared" si="0"/>
        <v>9579</v>
      </c>
      <c r="K10" s="5">
        <f t="shared" si="0"/>
        <v>10776</v>
      </c>
      <c r="L10" s="5">
        <f t="shared" si="0"/>
        <v>11973</v>
      </c>
    </row>
    <row r="11" spans="1:12" x14ac:dyDescent="0.2">
      <c r="A11" t="s">
        <v>330</v>
      </c>
      <c r="B11" t="s">
        <v>150</v>
      </c>
      <c r="C11" s="5">
        <f t="shared" ref="C11:L11" si="1">ROUND(C8*0.4,0)</f>
        <v>1368</v>
      </c>
      <c r="D11" s="5">
        <f t="shared" si="1"/>
        <v>2737</v>
      </c>
      <c r="E11" s="5">
        <f t="shared" si="1"/>
        <v>4105</v>
      </c>
      <c r="F11" s="5">
        <f t="shared" si="1"/>
        <v>5474</v>
      </c>
      <c r="G11" s="5">
        <f t="shared" si="1"/>
        <v>6842</v>
      </c>
      <c r="H11" s="5">
        <f t="shared" si="1"/>
        <v>8210</v>
      </c>
      <c r="I11" s="5">
        <f t="shared" si="1"/>
        <v>9579</v>
      </c>
      <c r="J11" s="5">
        <f t="shared" si="1"/>
        <v>10947</v>
      </c>
      <c r="K11" s="5">
        <f t="shared" si="1"/>
        <v>12316</v>
      </c>
      <c r="L11" s="5">
        <f t="shared" si="1"/>
        <v>13684</v>
      </c>
    </row>
    <row r="12" spans="1:12" x14ac:dyDescent="0.2">
      <c r="A12" t="s">
        <v>331</v>
      </c>
      <c r="B12" t="s">
        <v>150</v>
      </c>
      <c r="C12" s="5">
        <f t="shared" ref="C12:L12" si="2">ROUND(C8*0.25,0)</f>
        <v>855</v>
      </c>
      <c r="D12" s="5">
        <f t="shared" si="2"/>
        <v>1710</v>
      </c>
      <c r="E12" s="5">
        <f t="shared" si="2"/>
        <v>2566</v>
      </c>
      <c r="F12" s="5">
        <f t="shared" si="2"/>
        <v>3421</v>
      </c>
      <c r="G12" s="5">
        <f t="shared" si="2"/>
        <v>4276</v>
      </c>
      <c r="H12" s="5">
        <f t="shared" si="2"/>
        <v>5131</v>
      </c>
      <c r="I12" s="5">
        <f t="shared" si="2"/>
        <v>5987</v>
      </c>
      <c r="J12" s="5">
        <f t="shared" si="2"/>
        <v>6842</v>
      </c>
      <c r="K12" s="5">
        <f t="shared" si="2"/>
        <v>7697</v>
      </c>
      <c r="L12" s="5">
        <f t="shared" si="2"/>
        <v>8552</v>
      </c>
    </row>
    <row r="14" spans="1:12" x14ac:dyDescent="0.2">
      <c r="A14" s="12" t="s">
        <v>332</v>
      </c>
    </row>
    <row r="15" spans="1:12" x14ac:dyDescent="0.2">
      <c r="A15" t="s">
        <v>329</v>
      </c>
      <c r="B15" t="s">
        <v>326</v>
      </c>
      <c r="C15" s="5">
        <f t="shared" ref="C15:L15" si="3">ROUND(C7*0.35,0)</f>
        <v>5747280</v>
      </c>
      <c r="D15" s="5">
        <f t="shared" si="3"/>
        <v>11494559</v>
      </c>
      <c r="E15" s="5">
        <f t="shared" si="3"/>
        <v>17241839</v>
      </c>
      <c r="F15" s="5">
        <f t="shared" si="3"/>
        <v>22989119</v>
      </c>
      <c r="G15" s="5">
        <f t="shared" si="3"/>
        <v>28736398</v>
      </c>
      <c r="H15" s="5">
        <f t="shared" si="3"/>
        <v>34483678</v>
      </c>
      <c r="I15" s="5">
        <f t="shared" si="3"/>
        <v>40230958</v>
      </c>
      <c r="J15" s="5">
        <f t="shared" si="3"/>
        <v>45978237</v>
      </c>
      <c r="K15" s="5">
        <f t="shared" si="3"/>
        <v>51725517</v>
      </c>
      <c r="L15" s="5">
        <f t="shared" si="3"/>
        <v>57472797</v>
      </c>
    </row>
    <row r="16" spans="1:12" x14ac:dyDescent="0.2">
      <c r="A16" t="s">
        <v>330</v>
      </c>
      <c r="B16" t="s">
        <v>326</v>
      </c>
      <c r="C16" s="5">
        <f t="shared" ref="C16:L16" si="4">ROUND(C7*0.4,0)</f>
        <v>6568320</v>
      </c>
      <c r="D16" s="5">
        <f t="shared" si="4"/>
        <v>13136639</v>
      </c>
      <c r="E16" s="5">
        <f t="shared" si="4"/>
        <v>19704959</v>
      </c>
      <c r="F16" s="5">
        <f t="shared" si="4"/>
        <v>26273278</v>
      </c>
      <c r="G16" s="5">
        <f t="shared" si="4"/>
        <v>32841598</v>
      </c>
      <c r="H16" s="5">
        <f t="shared" si="4"/>
        <v>39409918</v>
      </c>
      <c r="I16" s="5">
        <f t="shared" si="4"/>
        <v>45978237</v>
      </c>
      <c r="J16" s="5">
        <f t="shared" si="4"/>
        <v>52546557</v>
      </c>
      <c r="K16" s="5">
        <f t="shared" si="4"/>
        <v>59114876</v>
      </c>
      <c r="L16" s="5">
        <f t="shared" si="4"/>
        <v>65683196</v>
      </c>
    </row>
    <row r="17" spans="1:12" x14ac:dyDescent="0.2">
      <c r="A17" t="s">
        <v>331</v>
      </c>
      <c r="B17" t="s">
        <v>326</v>
      </c>
      <c r="C17" s="5">
        <f t="shared" ref="C17:L17" si="5">ROUND(C7*0.25,0)</f>
        <v>4105200</v>
      </c>
      <c r="D17" s="5">
        <f t="shared" si="5"/>
        <v>8210400</v>
      </c>
      <c r="E17" s="5">
        <f t="shared" si="5"/>
        <v>12315599</v>
      </c>
      <c r="F17" s="5">
        <f t="shared" si="5"/>
        <v>16420799</v>
      </c>
      <c r="G17" s="5">
        <f t="shared" si="5"/>
        <v>20525999</v>
      </c>
      <c r="H17" s="5">
        <f t="shared" si="5"/>
        <v>24631199</v>
      </c>
      <c r="I17" s="5">
        <f t="shared" si="5"/>
        <v>28736398</v>
      </c>
      <c r="J17" s="5">
        <f t="shared" si="5"/>
        <v>32841598</v>
      </c>
      <c r="K17" s="5">
        <f t="shared" si="5"/>
        <v>36946798</v>
      </c>
      <c r="L17" s="5">
        <f t="shared" si="5"/>
        <v>41051998</v>
      </c>
    </row>
    <row r="19" spans="1:12" x14ac:dyDescent="0.2">
      <c r="A19" s="3" t="s">
        <v>333</v>
      </c>
    </row>
    <row r="20" spans="1:12" x14ac:dyDescent="0.2">
      <c r="A20" t="s">
        <v>334</v>
      </c>
      <c r="B20" t="s">
        <v>150</v>
      </c>
      <c r="C20" s="5">
        <f t="shared" ref="C20:L20" si="6">C11</f>
        <v>1368</v>
      </c>
      <c r="D20" s="5">
        <f t="shared" si="6"/>
        <v>2737</v>
      </c>
      <c r="E20" s="5">
        <f t="shared" si="6"/>
        <v>4105</v>
      </c>
      <c r="F20" s="5">
        <f t="shared" si="6"/>
        <v>5474</v>
      </c>
      <c r="G20" s="5">
        <f t="shared" si="6"/>
        <v>6842</v>
      </c>
      <c r="H20" s="5">
        <f t="shared" si="6"/>
        <v>8210</v>
      </c>
      <c r="I20" s="5">
        <f t="shared" si="6"/>
        <v>9579</v>
      </c>
      <c r="J20" s="5">
        <f t="shared" si="6"/>
        <v>10947</v>
      </c>
      <c r="K20" s="5">
        <f t="shared" si="6"/>
        <v>12316</v>
      </c>
      <c r="L20" s="5">
        <f t="shared" si="6"/>
        <v>13684</v>
      </c>
    </row>
    <row r="21" spans="1:12" x14ac:dyDescent="0.2">
      <c r="A21" t="s">
        <v>335</v>
      </c>
      <c r="B21" t="s">
        <v>169</v>
      </c>
      <c r="C21" s="5">
        <f t="shared" ref="C21:L21" si="7">CEILING(C20/120,1)</f>
        <v>12</v>
      </c>
      <c r="D21" s="5">
        <f t="shared" si="7"/>
        <v>23</v>
      </c>
      <c r="E21" s="5">
        <f t="shared" si="7"/>
        <v>35</v>
      </c>
      <c r="F21" s="5">
        <f t="shared" si="7"/>
        <v>46</v>
      </c>
      <c r="G21" s="5">
        <f t="shared" si="7"/>
        <v>58</v>
      </c>
      <c r="H21" s="5">
        <f t="shared" si="7"/>
        <v>69</v>
      </c>
      <c r="I21" s="5">
        <f t="shared" si="7"/>
        <v>80</v>
      </c>
      <c r="J21" s="5">
        <f t="shared" si="7"/>
        <v>92</v>
      </c>
      <c r="K21" s="5">
        <f t="shared" si="7"/>
        <v>103</v>
      </c>
      <c r="L21" s="5">
        <f t="shared" si="7"/>
        <v>115</v>
      </c>
    </row>
    <row r="22" spans="1:12" x14ac:dyDescent="0.2">
      <c r="A22" t="s">
        <v>336</v>
      </c>
      <c r="B22" t="s">
        <v>90</v>
      </c>
      <c r="C22" s="6">
        <f>ROUND(('Ops Storage'!C38+'Ops Storage'!C39+'Ops Storage'!C41)*0.4,0)</f>
        <v>2280</v>
      </c>
      <c r="D22" s="6">
        <f>ROUND(('Ops Storage'!D38+'Ops Storage'!D39+'Ops Storage'!D41)*0.4,0)</f>
        <v>2280</v>
      </c>
      <c r="E22" s="6">
        <f>ROUND(('Ops Storage'!E38+'Ops Storage'!E39+'Ops Storage'!E41)*0.4,0)</f>
        <v>2280</v>
      </c>
      <c r="F22" s="6">
        <f>ROUND(('Ops Storage'!F38+'Ops Storage'!F39+'Ops Storage'!F41)*0.4,0)</f>
        <v>2280</v>
      </c>
      <c r="G22" s="6">
        <f>ROUND(('Ops Storage'!G38+'Ops Storage'!G39+'Ops Storage'!G41)*0.4,0)</f>
        <v>2280</v>
      </c>
      <c r="H22" s="6">
        <f>ROUND(('Ops Storage'!H38+'Ops Storage'!H39+'Ops Storage'!H41)*0.4,0)</f>
        <v>2280</v>
      </c>
      <c r="I22" s="6">
        <f>ROUND(('Ops Storage'!I38+'Ops Storage'!I39+'Ops Storage'!I41)*0.4,0)</f>
        <v>2280</v>
      </c>
      <c r="J22" s="6">
        <f>ROUND(('Ops Storage'!J38+'Ops Storage'!J39+'Ops Storage'!J41)*0.4,0)</f>
        <v>2280</v>
      </c>
      <c r="K22" s="6">
        <f>ROUND(('Ops Storage'!K38+'Ops Storage'!K39+'Ops Storage'!K41)*0.4,0)</f>
        <v>2280</v>
      </c>
      <c r="L22" s="6">
        <f>ROUND(('Ops Storage'!L38+'Ops Storage'!L39+'Ops Storage'!L41)*0.4,0)</f>
        <v>2280</v>
      </c>
    </row>
    <row r="24" spans="1:12" x14ac:dyDescent="0.2">
      <c r="A24" s="3" t="s">
        <v>337</v>
      </c>
    </row>
    <row r="25" spans="1:12" x14ac:dyDescent="0.2">
      <c r="A25" t="s">
        <v>334</v>
      </c>
      <c r="B25" t="s">
        <v>150</v>
      </c>
      <c r="C25" s="5">
        <f t="shared" ref="C25:L25" si="8">C12</f>
        <v>855</v>
      </c>
      <c r="D25" s="5">
        <f t="shared" si="8"/>
        <v>1710</v>
      </c>
      <c r="E25" s="5">
        <f t="shared" si="8"/>
        <v>2566</v>
      </c>
      <c r="F25" s="5">
        <f t="shared" si="8"/>
        <v>3421</v>
      </c>
      <c r="G25" s="5">
        <f t="shared" si="8"/>
        <v>4276</v>
      </c>
      <c r="H25" s="5">
        <f t="shared" si="8"/>
        <v>5131</v>
      </c>
      <c r="I25" s="5">
        <f t="shared" si="8"/>
        <v>5987</v>
      </c>
      <c r="J25" s="5">
        <f t="shared" si="8"/>
        <v>6842</v>
      </c>
      <c r="K25" s="5">
        <f t="shared" si="8"/>
        <v>7697</v>
      </c>
      <c r="L25" s="5">
        <f t="shared" si="8"/>
        <v>8552</v>
      </c>
    </row>
    <row r="26" spans="1:12" x14ac:dyDescent="0.2">
      <c r="A26" t="s">
        <v>335</v>
      </c>
      <c r="B26" t="s">
        <v>169</v>
      </c>
      <c r="C26" s="5">
        <f t="shared" ref="C26:L26" si="9">CEILING(C25/120,1)</f>
        <v>8</v>
      </c>
      <c r="D26" s="5">
        <f t="shared" si="9"/>
        <v>15</v>
      </c>
      <c r="E26" s="5">
        <f t="shared" si="9"/>
        <v>22</v>
      </c>
      <c r="F26" s="5">
        <f t="shared" si="9"/>
        <v>29</v>
      </c>
      <c r="G26" s="5">
        <f t="shared" si="9"/>
        <v>36</v>
      </c>
      <c r="H26" s="5">
        <f t="shared" si="9"/>
        <v>43</v>
      </c>
      <c r="I26" s="5">
        <f t="shared" si="9"/>
        <v>50</v>
      </c>
      <c r="J26" s="5">
        <f t="shared" si="9"/>
        <v>58</v>
      </c>
      <c r="K26" s="5">
        <f t="shared" si="9"/>
        <v>65</v>
      </c>
      <c r="L26" s="5">
        <f t="shared" si="9"/>
        <v>72</v>
      </c>
    </row>
    <row r="27" spans="1:12" x14ac:dyDescent="0.2">
      <c r="A27" t="s">
        <v>336</v>
      </c>
      <c r="B27" t="s">
        <v>90</v>
      </c>
      <c r="C27" s="6">
        <f>ROUND(('Ops Storage'!C38+'Ops Storage'!C39+'Ops Storage'!C41)*0.25,0)</f>
        <v>1425</v>
      </c>
      <c r="D27" s="6">
        <f>ROUND(('Ops Storage'!D38+'Ops Storage'!D39+'Ops Storage'!D41)*0.25,0)</f>
        <v>1425</v>
      </c>
      <c r="E27" s="6">
        <f>ROUND(('Ops Storage'!E38+'Ops Storage'!E39+'Ops Storage'!E41)*0.25,0)</f>
        <v>1425</v>
      </c>
      <c r="F27" s="6">
        <f>ROUND(('Ops Storage'!F38+'Ops Storage'!F39+'Ops Storage'!F41)*0.25,0)</f>
        <v>1425</v>
      </c>
      <c r="G27" s="6">
        <f>ROUND(('Ops Storage'!G38+'Ops Storage'!G39+'Ops Storage'!G41)*0.25,0)</f>
        <v>1425</v>
      </c>
      <c r="H27" s="6">
        <f>ROUND(('Ops Storage'!H38+'Ops Storage'!H39+'Ops Storage'!H41)*0.25,0)</f>
        <v>1425</v>
      </c>
      <c r="I27" s="6">
        <f>ROUND(('Ops Storage'!I38+'Ops Storage'!I39+'Ops Storage'!I41)*0.25,0)</f>
        <v>1425</v>
      </c>
      <c r="J27" s="6">
        <f>ROUND(('Ops Storage'!J38+'Ops Storage'!J39+'Ops Storage'!J41)*0.25,0)</f>
        <v>1425</v>
      </c>
      <c r="K27" s="6">
        <f>ROUND(('Ops Storage'!K38+'Ops Storage'!K39+'Ops Storage'!K41)*0.25,0)</f>
        <v>1425</v>
      </c>
      <c r="L27" s="6">
        <f>ROUND(('Ops Storage'!L38+'Ops Storage'!L39+'Ops Storage'!L41)*0.25,0)</f>
        <v>1425</v>
      </c>
    </row>
    <row r="29" spans="1:12" x14ac:dyDescent="0.2">
      <c r="A29" s="16" t="s">
        <v>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J17"/>
  <sheetViews>
    <sheetView workbookViewId="0"/>
  </sheetViews>
  <sheetFormatPr baseColWidth="10" defaultColWidth="8.83203125" defaultRowHeight="15" x14ac:dyDescent="0.2"/>
  <cols>
    <col min="1" max="1" width="18" customWidth="1"/>
    <col min="2" max="2" width="14" customWidth="1"/>
    <col min="3" max="3" width="12" customWidth="1"/>
    <col min="4" max="6" width="20" customWidth="1"/>
    <col min="7" max="9" width="18" customWidth="1"/>
    <col min="10" max="10" width="38" customWidth="1"/>
  </cols>
  <sheetData>
    <row r="1" spans="1:10" ht="19" x14ac:dyDescent="0.25">
      <c r="A1" s="1" t="s">
        <v>339</v>
      </c>
    </row>
    <row r="3" spans="1:10" ht="32" x14ac:dyDescent="0.2">
      <c r="A3" s="2" t="s">
        <v>340</v>
      </c>
      <c r="B3" s="2" t="s">
        <v>341</v>
      </c>
      <c r="C3" s="2" t="s">
        <v>260</v>
      </c>
      <c r="D3" s="2" t="s">
        <v>342</v>
      </c>
      <c r="E3" s="2" t="s">
        <v>343</v>
      </c>
      <c r="F3" s="2" t="s">
        <v>344</v>
      </c>
      <c r="G3" s="2" t="s">
        <v>345</v>
      </c>
      <c r="H3" s="2" t="s">
        <v>346</v>
      </c>
      <c r="I3" s="2" t="s">
        <v>347</v>
      </c>
      <c r="J3" s="2" t="s">
        <v>348</v>
      </c>
    </row>
    <row r="4" spans="1:10" x14ac:dyDescent="0.2">
      <c r="A4" t="s">
        <v>73</v>
      </c>
      <c r="B4">
        <v>2026</v>
      </c>
      <c r="C4" s="11" t="s">
        <v>261</v>
      </c>
      <c r="D4" s="5">
        <f>'Purchase Plan'!C11</f>
        <v>3797.3097687499999</v>
      </c>
      <c r="E4" s="5">
        <v>17400</v>
      </c>
      <c r="F4" s="5">
        <f t="shared" ref="F4:F13" si="0">MAX(0,D4-E4)</f>
        <v>0</v>
      </c>
      <c r="G4" s="6">
        <f>'Purchase Plan'!C30/1000</f>
        <v>26.765624128963708</v>
      </c>
      <c r="H4" s="6">
        <v>30</v>
      </c>
      <c r="I4" s="6">
        <f t="shared" ref="I4:I13" si="1">MAX(0,G4-H4)</f>
        <v>0</v>
      </c>
      <c r="J4" t="str">
        <f t="shared" ref="J4:J13" si="2">IF(AND(F4&lt;=0,I4&lt;=0),"On Track","Need: "&amp;IF(F4&gt;0,TEXT(F4,"#,##0")&amp;" cores","")&amp;IF(AND(F4&gt;0,I4&gt;0)," + ","")&amp;IF(I4&gt;0,TEXT(I4,"#,##0.0")&amp;" PB",""))</f>
        <v>On Track</v>
      </c>
    </row>
    <row r="5" spans="1:10" x14ac:dyDescent="0.2">
      <c r="A5" t="s">
        <v>74</v>
      </c>
      <c r="B5">
        <v>2027</v>
      </c>
      <c r="C5" s="11" t="s">
        <v>262</v>
      </c>
      <c r="D5" s="5">
        <f>'Purchase Plan'!D11</f>
        <v>7594.6195374999998</v>
      </c>
      <c r="E5" s="5">
        <f>'Purchase Plan'!C12</f>
        <v>21197.309768750001</v>
      </c>
      <c r="F5" s="5">
        <f t="shared" si="0"/>
        <v>0</v>
      </c>
      <c r="G5" s="6">
        <f>'Purchase Plan'!D30/1000</f>
        <v>45.044280005731707</v>
      </c>
      <c r="H5" s="6">
        <f>'Purchase Plan'!C31/1000</f>
        <v>30</v>
      </c>
      <c r="I5" s="6">
        <f t="shared" si="1"/>
        <v>15.044280005731707</v>
      </c>
      <c r="J5" t="str">
        <f t="shared" si="2"/>
        <v>Need: 15.0 PB</v>
      </c>
    </row>
    <row r="6" spans="1:10" x14ac:dyDescent="0.2">
      <c r="A6" t="s">
        <v>75</v>
      </c>
      <c r="B6">
        <v>2028</v>
      </c>
      <c r="C6" s="11" t="s">
        <v>263</v>
      </c>
      <c r="D6" s="5">
        <f>'Purchase Plan'!E11</f>
        <v>11391.92930625</v>
      </c>
      <c r="E6" s="5">
        <f>'Purchase Plan'!D12</f>
        <v>24994.619537500002</v>
      </c>
      <c r="F6" s="5">
        <f t="shared" si="0"/>
        <v>0</v>
      </c>
      <c r="G6" s="6">
        <f>'Purchase Plan'!E30/1000</f>
        <v>62.789169282499699</v>
      </c>
      <c r="H6" s="6">
        <f>'Purchase Plan'!D31/1000</f>
        <v>45.044280005731707</v>
      </c>
      <c r="I6" s="6">
        <f t="shared" si="1"/>
        <v>17.744889276767992</v>
      </c>
      <c r="J6" t="str">
        <f t="shared" si="2"/>
        <v>Need: 17.7 PB</v>
      </c>
    </row>
    <row r="7" spans="1:10" x14ac:dyDescent="0.2">
      <c r="A7" t="s">
        <v>76</v>
      </c>
      <c r="B7">
        <v>2029</v>
      </c>
      <c r="C7" s="11" t="s">
        <v>264</v>
      </c>
      <c r="D7" s="5">
        <f>'Purchase Plan'!F11</f>
        <v>15189.239075</v>
      </c>
      <c r="E7" s="5">
        <f>'Purchase Plan'!E12</f>
        <v>28791.92930625</v>
      </c>
      <c r="F7" s="5">
        <f t="shared" si="0"/>
        <v>0</v>
      </c>
      <c r="G7" s="6">
        <f>'Purchase Plan'!F30/1000</f>
        <v>75.17698177926772</v>
      </c>
      <c r="H7" s="6">
        <f>'Purchase Plan'!E31/1000</f>
        <v>62.789169282499699</v>
      </c>
      <c r="I7" s="6">
        <f t="shared" si="1"/>
        <v>12.387812496768021</v>
      </c>
      <c r="J7" t="str">
        <f t="shared" si="2"/>
        <v>Need: 12.4 PB</v>
      </c>
    </row>
    <row r="8" spans="1:10" x14ac:dyDescent="0.2">
      <c r="A8" t="s">
        <v>77</v>
      </c>
      <c r="B8">
        <v>2030</v>
      </c>
      <c r="C8" s="11" t="s">
        <v>265</v>
      </c>
      <c r="D8" s="5">
        <f>'Purchase Plan'!G11</f>
        <v>18986.548843749999</v>
      </c>
      <c r="E8" s="5">
        <f>'Purchase Plan'!F12</f>
        <v>36386.548843750003</v>
      </c>
      <c r="F8" s="5">
        <f t="shared" si="0"/>
        <v>0</v>
      </c>
      <c r="G8" s="6">
        <f>'Purchase Plan'!G30/1000</f>
        <v>87.624736016035712</v>
      </c>
      <c r="H8" s="6">
        <f>'Purchase Plan'!F31/1000</f>
        <v>75.17698177926772</v>
      </c>
      <c r="I8" s="6">
        <f t="shared" si="1"/>
        <v>12.447754236767992</v>
      </c>
      <c r="J8" t="str">
        <f t="shared" si="2"/>
        <v>Need: 12.4 PB</v>
      </c>
    </row>
    <row r="9" spans="1:10" x14ac:dyDescent="0.2">
      <c r="A9" t="s">
        <v>78</v>
      </c>
      <c r="B9">
        <v>2031</v>
      </c>
      <c r="C9" s="11" t="s">
        <v>266</v>
      </c>
      <c r="D9" s="5">
        <f>'Purchase Plan'!H11</f>
        <v>22783.8586125</v>
      </c>
      <c r="E9" s="5">
        <f>'Purchase Plan'!G12</f>
        <v>43981.168381250005</v>
      </c>
      <c r="F9" s="5">
        <f t="shared" si="0"/>
        <v>0</v>
      </c>
      <c r="G9" s="6">
        <f>'Purchase Plan'!H30/1000</f>
        <v>100.5023919328037</v>
      </c>
      <c r="H9" s="6">
        <f>'Purchase Plan'!G31/1000</f>
        <v>87.624736016035712</v>
      </c>
      <c r="I9" s="6">
        <f t="shared" si="1"/>
        <v>12.877655916767992</v>
      </c>
      <c r="J9" t="str">
        <f t="shared" si="2"/>
        <v>Need: 12.9 PB</v>
      </c>
    </row>
    <row r="10" spans="1:10" x14ac:dyDescent="0.2">
      <c r="A10" t="s">
        <v>79</v>
      </c>
      <c r="B10">
        <v>2032</v>
      </c>
      <c r="C10" s="11" t="s">
        <v>267</v>
      </c>
      <c r="D10" s="5">
        <f>'Purchase Plan'!I11</f>
        <v>26581.168381250001</v>
      </c>
      <c r="E10" s="5">
        <f>'Purchase Plan'!H12</f>
        <v>51575.78791875</v>
      </c>
      <c r="F10" s="5">
        <f t="shared" si="0"/>
        <v>0</v>
      </c>
      <c r="G10" s="6">
        <f>'Purchase Plan'!I30/1000</f>
        <v>113.89531956957171</v>
      </c>
      <c r="H10" s="6">
        <f>'Purchase Plan'!H31/1000</f>
        <v>100.5023919328037</v>
      </c>
      <c r="I10" s="6">
        <f t="shared" si="1"/>
        <v>13.392927636768007</v>
      </c>
      <c r="J10" t="str">
        <f t="shared" si="2"/>
        <v>Need: 13.4 PB</v>
      </c>
    </row>
    <row r="11" spans="1:10" x14ac:dyDescent="0.2">
      <c r="A11" t="s">
        <v>80</v>
      </c>
      <c r="B11">
        <v>2033</v>
      </c>
      <c r="C11" s="11" t="s">
        <v>268</v>
      </c>
      <c r="D11" s="5">
        <f>'Purchase Plan'!J11</f>
        <v>30378.478149999999</v>
      </c>
      <c r="E11" s="5">
        <f>'Purchase Plan'!I12</f>
        <v>59170.407456250003</v>
      </c>
      <c r="F11" s="5">
        <f t="shared" si="0"/>
        <v>0</v>
      </c>
      <c r="G11" s="6">
        <f>'Purchase Plan'!J30/1000</f>
        <v>127.77053872633971</v>
      </c>
      <c r="H11" s="6">
        <f>'Purchase Plan'!I31/1000</f>
        <v>113.89531956957171</v>
      </c>
      <c r="I11" s="6">
        <f t="shared" si="1"/>
        <v>13.875219156767997</v>
      </c>
      <c r="J11" t="str">
        <f t="shared" si="2"/>
        <v>Need: 13.9 PB</v>
      </c>
    </row>
    <row r="12" spans="1:10" x14ac:dyDescent="0.2">
      <c r="A12" t="s">
        <v>81</v>
      </c>
      <c r="B12">
        <v>2034</v>
      </c>
      <c r="C12" s="11" t="s">
        <v>269</v>
      </c>
      <c r="D12" s="5">
        <f>'Purchase Plan'!K11</f>
        <v>34175.78791875</v>
      </c>
      <c r="E12" s="5">
        <f>'Purchase Plan'!J12</f>
        <v>66765.026993749998</v>
      </c>
      <c r="F12" s="5">
        <f t="shared" si="0"/>
        <v>0</v>
      </c>
      <c r="G12" s="6">
        <f>'Purchase Plan'!K30/1000</f>
        <v>142.06473644310768</v>
      </c>
      <c r="H12" s="6">
        <f>'Purchase Plan'!J31/1000</f>
        <v>127.77053872633971</v>
      </c>
      <c r="I12" s="6">
        <f t="shared" si="1"/>
        <v>14.294197716767968</v>
      </c>
      <c r="J12" t="str">
        <f t="shared" si="2"/>
        <v>Need: 14.3 PB</v>
      </c>
    </row>
    <row r="13" spans="1:10" x14ac:dyDescent="0.2">
      <c r="A13" t="s">
        <v>82</v>
      </c>
      <c r="B13">
        <v>2035</v>
      </c>
      <c r="C13" s="11" t="s">
        <v>270</v>
      </c>
      <c r="D13" s="5">
        <f>'Purchase Plan'!L11</f>
        <v>37973.097687499998</v>
      </c>
      <c r="E13" s="5">
        <f>'Purchase Plan'!K12</f>
        <v>74359.646531249993</v>
      </c>
      <c r="F13" s="5">
        <f t="shared" si="0"/>
        <v>0</v>
      </c>
      <c r="G13" s="6">
        <f>'Purchase Plan'!L30/1000</f>
        <v>156.82433591987572</v>
      </c>
      <c r="H13" s="6">
        <f>'Purchase Plan'!K31/1000</f>
        <v>142.06473644310768</v>
      </c>
      <c r="I13" s="6">
        <f t="shared" si="1"/>
        <v>14.759599476768045</v>
      </c>
      <c r="J13" t="str">
        <f t="shared" si="2"/>
        <v>Need: 14.8 PB</v>
      </c>
    </row>
    <row r="15" spans="1:10" x14ac:dyDescent="0.2">
      <c r="A15" s="15" t="s">
        <v>349</v>
      </c>
    </row>
    <row r="16" spans="1:10" x14ac:dyDescent="0.2">
      <c r="A16" s="16" t="s">
        <v>350</v>
      </c>
    </row>
    <row r="17" spans="1:1" x14ac:dyDescent="0.2">
      <c r="A17" s="16" t="s">
        <v>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P25"/>
  <sheetViews>
    <sheetView tabSelected="1" topLeftCell="A4" zoomScale="140" workbookViewId="0">
      <selection activeCell="G14" sqref="G14"/>
    </sheetView>
  </sheetViews>
  <sheetFormatPr baseColWidth="10" defaultColWidth="8.83203125" defaultRowHeight="15" x14ac:dyDescent="0.2"/>
  <cols>
    <col min="1" max="1" width="36" customWidth="1"/>
    <col min="2" max="2" width="14" customWidth="1"/>
    <col min="3" max="3" width="10" customWidth="1"/>
    <col min="4" max="4" width="12" customWidth="1"/>
    <col min="5" max="5" width="10" customWidth="1"/>
    <col min="6" max="6" width="14" customWidth="1"/>
    <col min="7" max="16" width="11" customWidth="1"/>
  </cols>
  <sheetData>
    <row r="1" spans="1:16" ht="19" x14ac:dyDescent="0.25">
      <c r="A1" s="1" t="s">
        <v>352</v>
      </c>
    </row>
    <row r="2" spans="1:16" x14ac:dyDescent="0.2">
      <c r="A2" s="17" t="s">
        <v>353</v>
      </c>
    </row>
    <row r="5" spans="1:16" x14ac:dyDescent="0.2">
      <c r="A5" s="12" t="s">
        <v>354</v>
      </c>
      <c r="G5" s="5">
        <v>2026</v>
      </c>
      <c r="H5" s="5">
        <v>2027</v>
      </c>
      <c r="I5" s="5">
        <v>2028</v>
      </c>
      <c r="J5" s="5">
        <v>2029</v>
      </c>
      <c r="K5" s="5">
        <v>2030</v>
      </c>
      <c r="L5" s="5">
        <v>2031</v>
      </c>
      <c r="M5" s="5">
        <v>2032</v>
      </c>
      <c r="N5" s="5">
        <v>2033</v>
      </c>
      <c r="O5" s="5">
        <v>2034</v>
      </c>
      <c r="P5" s="5">
        <v>2035</v>
      </c>
    </row>
    <row r="6" spans="1:16" ht="32" x14ac:dyDescent="0.2">
      <c r="A6" s="2" t="s">
        <v>355</v>
      </c>
      <c r="B6" s="2" t="s">
        <v>146</v>
      </c>
      <c r="C6" s="2" t="s">
        <v>356</v>
      </c>
      <c r="D6" s="2" t="s">
        <v>357</v>
      </c>
      <c r="E6" s="2" t="s">
        <v>358</v>
      </c>
      <c r="F6" s="2" t="s">
        <v>359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</row>
    <row r="7" spans="1:16" x14ac:dyDescent="0.2">
      <c r="A7" t="s">
        <v>360</v>
      </c>
      <c r="B7" t="s">
        <v>361</v>
      </c>
      <c r="C7" s="5">
        <v>16</v>
      </c>
      <c r="D7" s="5">
        <v>2022</v>
      </c>
      <c r="E7" s="5">
        <v>3</v>
      </c>
      <c r="F7" s="5">
        <v>2025</v>
      </c>
      <c r="G7" s="5">
        <v>16</v>
      </c>
      <c r="H7" s="5">
        <f t="shared" ref="G7:P16" si="0">IF(AND(H$5&gt;$D7,MOD(H$5-$D7,$E7)=0),$C7,0)</f>
        <v>0</v>
      </c>
      <c r="I7" s="5">
        <f t="shared" si="0"/>
        <v>16</v>
      </c>
      <c r="J7" s="5">
        <f t="shared" si="0"/>
        <v>0</v>
      </c>
      <c r="K7" s="5">
        <f t="shared" si="0"/>
        <v>0</v>
      </c>
      <c r="L7" s="5">
        <f t="shared" si="0"/>
        <v>16</v>
      </c>
      <c r="M7" s="5">
        <f t="shared" si="0"/>
        <v>0</v>
      </c>
      <c r="N7" s="5">
        <f t="shared" si="0"/>
        <v>0</v>
      </c>
      <c r="O7" s="5">
        <f t="shared" si="0"/>
        <v>16</v>
      </c>
      <c r="P7" s="5">
        <f t="shared" si="0"/>
        <v>0</v>
      </c>
    </row>
    <row r="8" spans="1:16" x14ac:dyDescent="0.2">
      <c r="A8" t="s">
        <v>362</v>
      </c>
      <c r="B8" t="s">
        <v>363</v>
      </c>
      <c r="C8" s="5">
        <v>4</v>
      </c>
      <c r="D8" s="5">
        <v>2022</v>
      </c>
      <c r="E8" s="5">
        <v>5</v>
      </c>
      <c r="F8" s="5">
        <v>2027</v>
      </c>
      <c r="G8" s="5">
        <f t="shared" si="0"/>
        <v>0</v>
      </c>
      <c r="H8" s="5">
        <f t="shared" si="0"/>
        <v>4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4</v>
      </c>
      <c r="N8" s="5">
        <f t="shared" si="0"/>
        <v>0</v>
      </c>
      <c r="O8" s="5">
        <f t="shared" si="0"/>
        <v>0</v>
      </c>
      <c r="P8" s="5">
        <f t="shared" si="0"/>
        <v>0</v>
      </c>
    </row>
    <row r="9" spans="1:16" x14ac:dyDescent="0.2">
      <c r="A9" t="s">
        <v>364</v>
      </c>
      <c r="B9" t="s">
        <v>363</v>
      </c>
      <c r="C9" s="5">
        <v>11</v>
      </c>
      <c r="D9" s="5">
        <v>2022</v>
      </c>
      <c r="E9" s="5">
        <v>5</v>
      </c>
      <c r="F9" s="5">
        <v>2027</v>
      </c>
      <c r="G9" s="5">
        <f t="shared" si="0"/>
        <v>0</v>
      </c>
      <c r="H9" s="5">
        <f t="shared" si="0"/>
        <v>11</v>
      </c>
      <c r="I9" s="5">
        <f t="shared" si="0"/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11</v>
      </c>
      <c r="N9" s="5">
        <f t="shared" si="0"/>
        <v>0</v>
      </c>
      <c r="O9" s="5">
        <f t="shared" si="0"/>
        <v>0</v>
      </c>
      <c r="P9" s="5">
        <f t="shared" si="0"/>
        <v>0</v>
      </c>
    </row>
    <row r="10" spans="1:16" x14ac:dyDescent="0.2">
      <c r="A10" t="s">
        <v>365</v>
      </c>
      <c r="B10" t="s">
        <v>363</v>
      </c>
      <c r="C10" s="5">
        <v>4</v>
      </c>
      <c r="D10" s="5">
        <v>2022</v>
      </c>
      <c r="E10" s="5">
        <v>5</v>
      </c>
      <c r="F10" s="5">
        <v>2027</v>
      </c>
      <c r="G10" s="5">
        <f t="shared" si="0"/>
        <v>0</v>
      </c>
      <c r="H10" s="5">
        <f t="shared" si="0"/>
        <v>4</v>
      </c>
      <c r="I10" s="5">
        <f t="shared" si="0"/>
        <v>0</v>
      </c>
      <c r="J10" s="5">
        <f t="shared" si="0"/>
        <v>0</v>
      </c>
      <c r="K10" s="5">
        <f t="shared" si="0"/>
        <v>0</v>
      </c>
      <c r="L10" s="5">
        <f t="shared" si="0"/>
        <v>0</v>
      </c>
      <c r="M10" s="5">
        <f t="shared" si="0"/>
        <v>4</v>
      </c>
      <c r="N10" s="5">
        <f t="shared" si="0"/>
        <v>0</v>
      </c>
      <c r="O10" s="5">
        <f t="shared" si="0"/>
        <v>0</v>
      </c>
      <c r="P10" s="5">
        <f t="shared" si="0"/>
        <v>0</v>
      </c>
    </row>
    <row r="11" spans="1:16" x14ac:dyDescent="0.2">
      <c r="A11" t="s">
        <v>366</v>
      </c>
      <c r="B11" t="s">
        <v>367</v>
      </c>
      <c r="C11" s="5">
        <v>4</v>
      </c>
      <c r="D11" s="5">
        <v>2022</v>
      </c>
      <c r="E11" s="5">
        <v>5</v>
      </c>
      <c r="F11" s="5">
        <v>2027</v>
      </c>
      <c r="G11" s="5">
        <f t="shared" si="0"/>
        <v>0</v>
      </c>
      <c r="H11" s="5">
        <f t="shared" si="0"/>
        <v>4</v>
      </c>
      <c r="I11" s="5">
        <f t="shared" si="0"/>
        <v>0</v>
      </c>
      <c r="J11" s="5">
        <f t="shared" si="0"/>
        <v>0</v>
      </c>
      <c r="K11" s="5">
        <f t="shared" si="0"/>
        <v>0</v>
      </c>
      <c r="L11" s="5">
        <f t="shared" si="0"/>
        <v>0</v>
      </c>
      <c r="M11" s="5">
        <f t="shared" si="0"/>
        <v>4</v>
      </c>
      <c r="N11" s="5">
        <f t="shared" si="0"/>
        <v>0</v>
      </c>
      <c r="O11" s="5">
        <f t="shared" si="0"/>
        <v>0</v>
      </c>
      <c r="P11" s="5">
        <f t="shared" si="0"/>
        <v>0</v>
      </c>
    </row>
    <row r="12" spans="1:16" x14ac:dyDescent="0.2">
      <c r="A12" t="s">
        <v>368</v>
      </c>
      <c r="B12" t="s">
        <v>369</v>
      </c>
      <c r="C12" s="5">
        <v>40</v>
      </c>
      <c r="D12" s="5">
        <v>2023</v>
      </c>
      <c r="E12" s="5">
        <v>3</v>
      </c>
      <c r="F12" s="5">
        <v>2026</v>
      </c>
      <c r="G12" s="5">
        <f t="shared" si="0"/>
        <v>40</v>
      </c>
      <c r="H12" s="5">
        <f t="shared" si="0"/>
        <v>0</v>
      </c>
      <c r="I12" s="5">
        <f t="shared" si="0"/>
        <v>0</v>
      </c>
      <c r="J12" s="5">
        <f t="shared" si="0"/>
        <v>40</v>
      </c>
      <c r="K12" s="5">
        <f t="shared" si="0"/>
        <v>0</v>
      </c>
      <c r="L12" s="5">
        <f t="shared" si="0"/>
        <v>0</v>
      </c>
      <c r="M12" s="5">
        <f t="shared" si="0"/>
        <v>40</v>
      </c>
      <c r="N12" s="5">
        <f t="shared" si="0"/>
        <v>0</v>
      </c>
      <c r="O12" s="5">
        <f t="shared" si="0"/>
        <v>0</v>
      </c>
      <c r="P12" s="5">
        <f t="shared" si="0"/>
        <v>40</v>
      </c>
    </row>
    <row r="13" spans="1:16" x14ac:dyDescent="0.2">
      <c r="A13" t="s">
        <v>370</v>
      </c>
      <c r="B13" t="s">
        <v>371</v>
      </c>
      <c r="C13" s="5">
        <v>15</v>
      </c>
      <c r="D13" s="5">
        <v>2023</v>
      </c>
      <c r="E13" s="5">
        <v>3</v>
      </c>
      <c r="F13" s="5">
        <v>2026</v>
      </c>
      <c r="G13" s="5">
        <f t="shared" si="0"/>
        <v>15</v>
      </c>
      <c r="H13" s="5">
        <f t="shared" si="0"/>
        <v>0</v>
      </c>
      <c r="I13" s="5">
        <f t="shared" si="0"/>
        <v>0</v>
      </c>
      <c r="J13" s="5">
        <f t="shared" si="0"/>
        <v>15</v>
      </c>
      <c r="K13" s="5">
        <f t="shared" si="0"/>
        <v>0</v>
      </c>
      <c r="L13" s="5">
        <f t="shared" si="0"/>
        <v>0</v>
      </c>
      <c r="M13" s="5">
        <f t="shared" si="0"/>
        <v>15</v>
      </c>
      <c r="N13" s="5">
        <f t="shared" si="0"/>
        <v>0</v>
      </c>
      <c r="O13" s="5">
        <f t="shared" si="0"/>
        <v>0</v>
      </c>
      <c r="P13" s="5">
        <f t="shared" si="0"/>
        <v>15</v>
      </c>
    </row>
    <row r="14" spans="1:16" x14ac:dyDescent="0.2">
      <c r="A14" t="s">
        <v>372</v>
      </c>
      <c r="B14" t="s">
        <v>361</v>
      </c>
      <c r="C14" s="5">
        <v>32</v>
      </c>
      <c r="D14" s="5">
        <v>2023</v>
      </c>
      <c r="E14" s="5">
        <v>3</v>
      </c>
      <c r="F14" s="5">
        <v>2026</v>
      </c>
      <c r="G14" s="5">
        <f t="shared" si="0"/>
        <v>32</v>
      </c>
      <c r="H14" s="5">
        <f t="shared" si="0"/>
        <v>0</v>
      </c>
      <c r="I14" s="5">
        <f t="shared" si="0"/>
        <v>0</v>
      </c>
      <c r="J14" s="5">
        <f t="shared" si="0"/>
        <v>32</v>
      </c>
      <c r="K14" s="5">
        <f t="shared" si="0"/>
        <v>0</v>
      </c>
      <c r="L14" s="5">
        <f t="shared" si="0"/>
        <v>0</v>
      </c>
      <c r="M14" s="5">
        <f t="shared" si="0"/>
        <v>32</v>
      </c>
      <c r="N14" s="5">
        <f t="shared" si="0"/>
        <v>0</v>
      </c>
      <c r="O14" s="5">
        <f t="shared" si="0"/>
        <v>0</v>
      </c>
      <c r="P14" s="5">
        <f t="shared" si="0"/>
        <v>32</v>
      </c>
    </row>
    <row r="15" spans="1:16" x14ac:dyDescent="0.2">
      <c r="A15" t="s">
        <v>373</v>
      </c>
      <c r="B15" t="s">
        <v>369</v>
      </c>
      <c r="C15" s="5">
        <v>32</v>
      </c>
      <c r="D15" s="5">
        <v>2023</v>
      </c>
      <c r="E15" s="5">
        <v>3</v>
      </c>
      <c r="F15" s="5">
        <v>2026</v>
      </c>
      <c r="G15" s="5">
        <f t="shared" si="0"/>
        <v>32</v>
      </c>
      <c r="H15" s="5">
        <f t="shared" si="0"/>
        <v>0</v>
      </c>
      <c r="I15" s="5">
        <f t="shared" si="0"/>
        <v>0</v>
      </c>
      <c r="J15" s="5">
        <f t="shared" si="0"/>
        <v>32</v>
      </c>
      <c r="K15" s="5">
        <f t="shared" si="0"/>
        <v>0</v>
      </c>
      <c r="L15" s="5">
        <f t="shared" si="0"/>
        <v>0</v>
      </c>
      <c r="M15" s="5">
        <f t="shared" si="0"/>
        <v>32</v>
      </c>
      <c r="N15" s="5">
        <f t="shared" si="0"/>
        <v>0</v>
      </c>
      <c r="O15" s="5">
        <f t="shared" si="0"/>
        <v>0</v>
      </c>
      <c r="P15" s="5">
        <f t="shared" si="0"/>
        <v>32</v>
      </c>
    </row>
    <row r="16" spans="1:16" x14ac:dyDescent="0.2">
      <c r="A16" t="s">
        <v>374</v>
      </c>
      <c r="B16" t="s">
        <v>371</v>
      </c>
      <c r="C16" s="5">
        <v>32</v>
      </c>
      <c r="D16" s="5">
        <v>2023</v>
      </c>
      <c r="E16" s="5">
        <v>3</v>
      </c>
      <c r="F16" s="5">
        <v>2026</v>
      </c>
      <c r="G16" s="5">
        <f t="shared" si="0"/>
        <v>32</v>
      </c>
      <c r="H16" s="5">
        <f t="shared" si="0"/>
        <v>0</v>
      </c>
      <c r="I16" s="5">
        <f t="shared" si="0"/>
        <v>0</v>
      </c>
      <c r="J16" s="5">
        <f t="shared" si="0"/>
        <v>32</v>
      </c>
      <c r="K16" s="5">
        <f t="shared" si="0"/>
        <v>0</v>
      </c>
      <c r="L16" s="5">
        <f t="shared" si="0"/>
        <v>0</v>
      </c>
      <c r="M16" s="5">
        <f t="shared" si="0"/>
        <v>32</v>
      </c>
      <c r="N16" s="5">
        <f t="shared" si="0"/>
        <v>0</v>
      </c>
      <c r="O16" s="5">
        <f t="shared" si="0"/>
        <v>0</v>
      </c>
      <c r="P16" s="5">
        <f t="shared" si="0"/>
        <v>32</v>
      </c>
    </row>
    <row r="17" spans="1:16" x14ac:dyDescent="0.2">
      <c r="A17" t="s">
        <v>375</v>
      </c>
      <c r="B17" t="s">
        <v>376</v>
      </c>
      <c r="C17" s="5">
        <v>12</v>
      </c>
      <c r="D17" s="5">
        <v>2023</v>
      </c>
      <c r="E17" s="5">
        <v>3</v>
      </c>
      <c r="F17" s="5">
        <v>2026</v>
      </c>
      <c r="G17" s="5">
        <f t="shared" ref="G17:P22" si="1">IF(AND(G$5&gt;$D17,MOD(G$5-$D17,$E17)=0),$C17,0)</f>
        <v>12</v>
      </c>
      <c r="H17" s="5">
        <f t="shared" si="1"/>
        <v>0</v>
      </c>
      <c r="I17" s="5">
        <f t="shared" si="1"/>
        <v>0</v>
      </c>
      <c r="J17" s="5">
        <f t="shared" si="1"/>
        <v>12</v>
      </c>
      <c r="K17" s="5">
        <f t="shared" si="1"/>
        <v>0</v>
      </c>
      <c r="L17" s="5">
        <f t="shared" si="1"/>
        <v>0</v>
      </c>
      <c r="M17" s="5">
        <f t="shared" si="1"/>
        <v>12</v>
      </c>
      <c r="N17" s="5">
        <f t="shared" si="1"/>
        <v>0</v>
      </c>
      <c r="O17" s="5">
        <f t="shared" si="1"/>
        <v>0</v>
      </c>
      <c r="P17" s="5">
        <f t="shared" si="1"/>
        <v>12</v>
      </c>
    </row>
    <row r="18" spans="1:16" x14ac:dyDescent="0.2">
      <c r="A18" t="s">
        <v>377</v>
      </c>
      <c r="B18" t="s">
        <v>363</v>
      </c>
      <c r="C18" s="5">
        <v>22</v>
      </c>
      <c r="D18" s="5">
        <v>2023</v>
      </c>
      <c r="E18" s="5">
        <v>5</v>
      </c>
      <c r="F18" s="5">
        <v>2028</v>
      </c>
      <c r="G18" s="5">
        <f t="shared" si="1"/>
        <v>0</v>
      </c>
      <c r="H18" s="5">
        <f t="shared" si="1"/>
        <v>0</v>
      </c>
      <c r="I18" s="5">
        <f t="shared" si="1"/>
        <v>22</v>
      </c>
      <c r="J18" s="5">
        <f t="shared" si="1"/>
        <v>0</v>
      </c>
      <c r="K18" s="5">
        <f t="shared" si="1"/>
        <v>0</v>
      </c>
      <c r="L18" s="5">
        <f t="shared" si="1"/>
        <v>0</v>
      </c>
      <c r="M18" s="5">
        <f t="shared" si="1"/>
        <v>0</v>
      </c>
      <c r="N18" s="5">
        <f t="shared" si="1"/>
        <v>22</v>
      </c>
      <c r="O18" s="5">
        <f t="shared" si="1"/>
        <v>0</v>
      </c>
      <c r="P18" s="5">
        <f t="shared" si="1"/>
        <v>0</v>
      </c>
    </row>
    <row r="19" spans="1:16" x14ac:dyDescent="0.2">
      <c r="A19" t="s">
        <v>378</v>
      </c>
      <c r="B19" t="s">
        <v>369</v>
      </c>
      <c r="C19" s="5">
        <v>50</v>
      </c>
      <c r="D19" s="5">
        <v>2024</v>
      </c>
      <c r="E19" s="5">
        <v>3</v>
      </c>
      <c r="F19" s="5">
        <v>2027</v>
      </c>
      <c r="G19" s="5">
        <f t="shared" si="1"/>
        <v>0</v>
      </c>
      <c r="H19" s="5">
        <f t="shared" si="1"/>
        <v>50</v>
      </c>
      <c r="I19" s="5">
        <f t="shared" si="1"/>
        <v>0</v>
      </c>
      <c r="J19" s="5">
        <f t="shared" si="1"/>
        <v>0</v>
      </c>
      <c r="K19" s="5">
        <f t="shared" si="1"/>
        <v>50</v>
      </c>
      <c r="L19" s="5">
        <f t="shared" si="1"/>
        <v>0</v>
      </c>
      <c r="M19" s="5">
        <f t="shared" si="1"/>
        <v>0</v>
      </c>
      <c r="N19" s="5">
        <f t="shared" si="1"/>
        <v>50</v>
      </c>
      <c r="O19" s="5">
        <f t="shared" si="1"/>
        <v>0</v>
      </c>
      <c r="P19" s="5">
        <f t="shared" si="1"/>
        <v>0</v>
      </c>
    </row>
    <row r="20" spans="1:16" x14ac:dyDescent="0.2">
      <c r="A20" t="s">
        <v>379</v>
      </c>
      <c r="B20" t="s">
        <v>371</v>
      </c>
      <c r="C20" s="5">
        <v>55</v>
      </c>
      <c r="D20" s="5">
        <v>2024</v>
      </c>
      <c r="E20" s="5">
        <v>3</v>
      </c>
      <c r="F20" s="5">
        <v>2027</v>
      </c>
      <c r="G20" s="5">
        <f t="shared" si="1"/>
        <v>0</v>
      </c>
      <c r="H20" s="5">
        <f t="shared" si="1"/>
        <v>55</v>
      </c>
      <c r="I20" s="5">
        <f t="shared" si="1"/>
        <v>0</v>
      </c>
      <c r="J20" s="5">
        <f t="shared" si="1"/>
        <v>0</v>
      </c>
      <c r="K20" s="5">
        <f t="shared" si="1"/>
        <v>55</v>
      </c>
      <c r="L20" s="5">
        <f t="shared" si="1"/>
        <v>0</v>
      </c>
      <c r="M20" s="5">
        <f t="shared" si="1"/>
        <v>0</v>
      </c>
      <c r="N20" s="5">
        <f t="shared" si="1"/>
        <v>55</v>
      </c>
      <c r="O20" s="5">
        <f t="shared" si="1"/>
        <v>0</v>
      </c>
      <c r="P20" s="5">
        <f t="shared" si="1"/>
        <v>0</v>
      </c>
    </row>
    <row r="21" spans="1:16" x14ac:dyDescent="0.2">
      <c r="A21" t="s">
        <v>380</v>
      </c>
      <c r="B21" t="s">
        <v>361</v>
      </c>
      <c r="C21" s="5">
        <v>30</v>
      </c>
      <c r="D21" s="5">
        <v>2024</v>
      </c>
      <c r="E21" s="5">
        <v>3</v>
      </c>
      <c r="F21" s="5">
        <v>2027</v>
      </c>
      <c r="G21" s="5">
        <f t="shared" si="1"/>
        <v>0</v>
      </c>
      <c r="H21" s="5">
        <f t="shared" si="1"/>
        <v>30</v>
      </c>
      <c r="I21" s="5">
        <f t="shared" si="1"/>
        <v>0</v>
      </c>
      <c r="J21" s="5">
        <f t="shared" si="1"/>
        <v>0</v>
      </c>
      <c r="K21" s="5">
        <f t="shared" si="1"/>
        <v>30</v>
      </c>
      <c r="L21" s="5">
        <f t="shared" si="1"/>
        <v>0</v>
      </c>
      <c r="M21" s="5">
        <f t="shared" si="1"/>
        <v>0</v>
      </c>
      <c r="N21" s="5">
        <f t="shared" si="1"/>
        <v>30</v>
      </c>
      <c r="O21" s="5">
        <f t="shared" si="1"/>
        <v>0</v>
      </c>
      <c r="P21" s="5">
        <f t="shared" si="1"/>
        <v>0</v>
      </c>
    </row>
    <row r="22" spans="1:16" x14ac:dyDescent="0.2">
      <c r="A22" t="s">
        <v>381</v>
      </c>
      <c r="B22" t="s">
        <v>363</v>
      </c>
      <c r="C22" s="5">
        <v>25</v>
      </c>
      <c r="D22" s="5">
        <v>2024</v>
      </c>
      <c r="E22" s="5">
        <v>5</v>
      </c>
      <c r="F22" s="5">
        <v>2029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25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25</v>
      </c>
      <c r="P22" s="5">
        <f t="shared" si="1"/>
        <v>0</v>
      </c>
    </row>
    <row r="23" spans="1:16" x14ac:dyDescent="0.2">
      <c r="A23" s="12" t="s">
        <v>382</v>
      </c>
      <c r="G23" s="5">
        <f t="shared" ref="G23:P23" si="2">SUM(G7:G22)</f>
        <v>179</v>
      </c>
      <c r="H23" s="5">
        <f t="shared" si="2"/>
        <v>158</v>
      </c>
      <c r="I23" s="5">
        <f t="shared" si="2"/>
        <v>38</v>
      </c>
      <c r="J23" s="5">
        <f t="shared" si="2"/>
        <v>188</v>
      </c>
      <c r="K23" s="5">
        <f t="shared" si="2"/>
        <v>135</v>
      </c>
      <c r="L23" s="5">
        <f t="shared" si="2"/>
        <v>16</v>
      </c>
      <c r="M23" s="5">
        <f t="shared" si="2"/>
        <v>186</v>
      </c>
      <c r="N23" s="5">
        <f t="shared" si="2"/>
        <v>157</v>
      </c>
      <c r="O23" s="5">
        <f t="shared" si="2"/>
        <v>41</v>
      </c>
      <c r="P23" s="5">
        <f t="shared" si="2"/>
        <v>163</v>
      </c>
    </row>
    <row r="25" spans="1:16" x14ac:dyDescent="0.2">
      <c r="A25" s="16" t="s">
        <v>383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F59"/>
  <sheetViews>
    <sheetView workbookViewId="0"/>
  </sheetViews>
  <sheetFormatPr baseColWidth="10" defaultColWidth="8.83203125" defaultRowHeight="15" x14ac:dyDescent="0.2"/>
  <cols>
    <col min="1" max="1" width="18" customWidth="1"/>
    <col min="2" max="19" width="14" customWidth="1"/>
  </cols>
  <sheetData>
    <row r="1" spans="1:6" ht="32" x14ac:dyDescent="0.2">
      <c r="A1" s="2" t="s">
        <v>341</v>
      </c>
      <c r="B1" s="2" t="s">
        <v>384</v>
      </c>
      <c r="C1" s="2" t="s">
        <v>385</v>
      </c>
      <c r="D1" s="2" t="s">
        <v>386</v>
      </c>
      <c r="E1" s="2" t="s">
        <v>387</v>
      </c>
      <c r="F1" s="2" t="s">
        <v>388</v>
      </c>
    </row>
    <row r="2" spans="1:6" x14ac:dyDescent="0.2">
      <c r="A2" t="s">
        <v>215</v>
      </c>
      <c r="B2" s="6">
        <f>'Ops Storage'!C51/1000</f>
        <v>0.35299894736842102</v>
      </c>
      <c r="C2" s="6">
        <f>'Ops Storage'!C53/1000</f>
        <v>14.825166604827286</v>
      </c>
      <c r="D2" s="6">
        <f>'Ops Storage'!C55/1000</f>
        <v>3.5095635000000001</v>
      </c>
      <c r="E2" s="6">
        <f>'Ops Storage'!C61/1000</f>
        <v>8.0778950767680016</v>
      </c>
      <c r="F2" s="6">
        <f>'Ops Storage'!C66/1000</f>
        <v>14.778316181595285</v>
      </c>
    </row>
    <row r="3" spans="1:6" x14ac:dyDescent="0.2">
      <c r="A3" t="s">
        <v>216</v>
      </c>
      <c r="B3" s="6">
        <f>'Ops Storage'!D51/1000</f>
        <v>0.54341644736842099</v>
      </c>
      <c r="C3" s="6">
        <f>'Ops Storage'!D53/1000</f>
        <v>19.087772404827284</v>
      </c>
      <c r="D3" s="6">
        <f>'Ops Storage'!D55/1000</f>
        <v>9.257301</v>
      </c>
      <c r="E3" s="6">
        <f>'Ops Storage'!D61/1000</f>
        <v>16.155790153536003</v>
      </c>
      <c r="F3" s="6">
        <f>'Ops Storage'!D66/1000</f>
        <v>31.547066663190567</v>
      </c>
    </row>
    <row r="4" spans="1:6" x14ac:dyDescent="0.2">
      <c r="A4" t="s">
        <v>217</v>
      </c>
      <c r="B4" s="6">
        <f>'Ops Storage'!E51/1000</f>
        <v>0.75890164736842103</v>
      </c>
      <c r="C4" s="6">
        <f>'Ops Storage'!E53/1000</f>
        <v>23.282067604827287</v>
      </c>
      <c r="D4" s="6">
        <f>'Ops Storage'!E55/1000</f>
        <v>17.275216799999999</v>
      </c>
      <c r="E4" s="6">
        <f>'Ops Storage'!E61/1000</f>
        <v>21.472983230304003</v>
      </c>
      <c r="F4" s="6">
        <f>'Ops Storage'!E66/1000</f>
        <v>50.214866344785854</v>
      </c>
    </row>
    <row r="5" spans="1:6" x14ac:dyDescent="0.2">
      <c r="A5" t="s">
        <v>218</v>
      </c>
      <c r="B5" s="6">
        <f>'Ops Storage'!F51/1000</f>
        <v>0.84004744736842096</v>
      </c>
      <c r="C5" s="6">
        <f>'Ops Storage'!F53/1000</f>
        <v>27.400795924827285</v>
      </c>
      <c r="D5" s="6">
        <f>'Ops Storage'!F55/1000</f>
        <v>24.1437621</v>
      </c>
      <c r="E5" s="6">
        <f>'Ops Storage'!F61/1000</f>
        <v>22.792376307072001</v>
      </c>
      <c r="F5" s="6">
        <f>'Ops Storage'!F66/1000</f>
        <v>70.619120746381142</v>
      </c>
    </row>
    <row r="6" spans="1:6" x14ac:dyDescent="0.2">
      <c r="A6" t="s">
        <v>219</v>
      </c>
      <c r="B6" s="6">
        <f>'Ops Storage'!G51/1000</f>
        <v>0.90787234736842104</v>
      </c>
      <c r="C6" s="6">
        <f>'Ops Storage'!G53/1000</f>
        <v>31.328527684827286</v>
      </c>
      <c r="D6" s="6">
        <f>'Ops Storage'!G55/1000</f>
        <v>31.276566599999999</v>
      </c>
      <c r="E6" s="6">
        <f>'Ops Storage'!G61/1000</f>
        <v>24.111769383840002</v>
      </c>
      <c r="F6" s="6">
        <f>'Ops Storage'!G66/1000</f>
        <v>92.427997107976438</v>
      </c>
    </row>
    <row r="7" spans="1:6" x14ac:dyDescent="0.2">
      <c r="A7" t="s">
        <v>220</v>
      </c>
      <c r="B7" s="6">
        <f>'Ops Storage'!H51/1000</f>
        <v>0.97103374736842096</v>
      </c>
      <c r="C7" s="6">
        <f>'Ops Storage'!H53/1000</f>
        <v>35.366461924827284</v>
      </c>
      <c r="D7" s="6">
        <f>'Ops Storage'!H55/1000</f>
        <v>38.733733800000003</v>
      </c>
      <c r="E7" s="6">
        <f>'Ops Storage'!H61/1000</f>
        <v>25.431162460608</v>
      </c>
      <c r="F7" s="6">
        <f>'Ops Storage'!H66/1000</f>
        <v>115.65986250957171</v>
      </c>
    </row>
    <row r="8" spans="1:6" x14ac:dyDescent="0.2">
      <c r="A8" t="s">
        <v>221</v>
      </c>
      <c r="B8" s="6">
        <f>'Ops Storage'!I51/1000</f>
        <v>1.0314831473684209</v>
      </c>
      <c r="C8" s="6">
        <f>'Ops Storage'!I53/1000</f>
        <v>39.55854168482729</v>
      </c>
      <c r="D8" s="6">
        <f>'Ops Storage'!I55/1000</f>
        <v>46.554739199999993</v>
      </c>
      <c r="E8" s="6">
        <f>'Ops Storage'!I61/1000</f>
        <v>26.750555537375998</v>
      </c>
      <c r="F8" s="6">
        <f>'Ops Storage'!I66/1000</f>
        <v>140.340407871167</v>
      </c>
    </row>
    <row r="9" spans="1:6" x14ac:dyDescent="0.2">
      <c r="A9" t="s">
        <v>222</v>
      </c>
      <c r="B9" s="6">
        <f>'Ops Storage'!J51/1000</f>
        <v>1.0908390473684211</v>
      </c>
      <c r="C9" s="6">
        <f>'Ops Storage'!J53/1000</f>
        <v>43.893531364827282</v>
      </c>
      <c r="D9" s="6">
        <f>'Ops Storage'!J55/1000</f>
        <v>54.716219700000003</v>
      </c>
      <c r="E9" s="6">
        <f>'Ops Storage'!J61/1000</f>
        <v>28.069948614144</v>
      </c>
      <c r="F9" s="6">
        <f>'Ops Storage'!J66/1000</f>
        <v>166.49345151276228</v>
      </c>
    </row>
    <row r="10" spans="1:6" x14ac:dyDescent="0.2">
      <c r="A10" t="s">
        <v>223</v>
      </c>
      <c r="B10" s="6">
        <f>'Ops Storage'!K51/1000</f>
        <v>1.147386047368421</v>
      </c>
      <c r="C10" s="6">
        <f>'Ops Storage'!K53/1000</f>
        <v>48.322029604827279</v>
      </c>
      <c r="D10" s="6">
        <f>'Ops Storage'!K55/1000</f>
        <v>63.205979100000008</v>
      </c>
      <c r="E10" s="6">
        <f>'Ops Storage'!K61/1000</f>
        <v>29.389341690911998</v>
      </c>
      <c r="F10" s="6">
        <f>'Ops Storage'!K66/1000</f>
        <v>194.13457819435757</v>
      </c>
    </row>
    <row r="11" spans="1:6" x14ac:dyDescent="0.2">
      <c r="A11" t="s">
        <v>224</v>
      </c>
      <c r="B11" s="6">
        <f>'Ops Storage'!L51/1000</f>
        <v>1.202169047368421</v>
      </c>
      <c r="C11" s="6">
        <f>'Ops Storage'!L53/1000</f>
        <v>52.896920404827277</v>
      </c>
      <c r="D11" s="6">
        <f>'Ops Storage'!L55/1000</f>
        <v>72.016511700000009</v>
      </c>
      <c r="E11" s="6">
        <f>'Ops Storage'!L61/1000</f>
        <v>30.708734767679999</v>
      </c>
      <c r="F11" s="6">
        <f>'Ops Storage'!L66/1000</f>
        <v>223.28818667595286</v>
      </c>
    </row>
    <row r="13" spans="1:6" ht="32" x14ac:dyDescent="0.2">
      <c r="A13" s="2" t="s">
        <v>341</v>
      </c>
      <c r="B13" s="2" t="s">
        <v>389</v>
      </c>
      <c r="C13" s="2" t="s">
        <v>386</v>
      </c>
      <c r="D13" s="2" t="s">
        <v>387</v>
      </c>
    </row>
    <row r="14" spans="1:6" x14ac:dyDescent="0.2">
      <c r="A14" t="s">
        <v>73</v>
      </c>
      <c r="B14" s="6">
        <f>'Ops Storage'!C51/1000</f>
        <v>0.35299894736842102</v>
      </c>
      <c r="C14" s="6">
        <f>'Ops Storage'!C55/1000</f>
        <v>3.5095635000000001</v>
      </c>
      <c r="D14" s="6">
        <f>'Ops Storage'!C61/1000</f>
        <v>8.0778950767680016</v>
      </c>
    </row>
    <row r="15" spans="1:6" x14ac:dyDescent="0.2">
      <c r="A15" t="s">
        <v>74</v>
      </c>
      <c r="B15" s="6">
        <f>'Ops Storage'!D51/1000</f>
        <v>0.54341644736842099</v>
      </c>
      <c r="C15" s="6">
        <f>'Ops Storage'!D55/1000</f>
        <v>9.257301</v>
      </c>
      <c r="D15" s="6">
        <f>'Ops Storage'!D61/1000</f>
        <v>16.155790153536003</v>
      </c>
    </row>
    <row r="16" spans="1:6" x14ac:dyDescent="0.2">
      <c r="A16" t="s">
        <v>75</v>
      </c>
      <c r="B16" s="6">
        <f>'Ops Storage'!E51/1000</f>
        <v>0.75890164736842103</v>
      </c>
      <c r="C16" s="6">
        <f>'Ops Storage'!E55/1000</f>
        <v>17.275216799999999</v>
      </c>
      <c r="D16" s="6">
        <f>'Ops Storage'!E61/1000</f>
        <v>21.472983230304003</v>
      </c>
    </row>
    <row r="17" spans="1:6" x14ac:dyDescent="0.2">
      <c r="A17" t="s">
        <v>76</v>
      </c>
      <c r="B17" s="6">
        <f>'Ops Storage'!F51/1000</f>
        <v>0.84004744736842096</v>
      </c>
      <c r="C17" s="6">
        <f>'Ops Storage'!F55/1000</f>
        <v>24.1437621</v>
      </c>
      <c r="D17" s="6">
        <f>'Ops Storage'!F61/1000</f>
        <v>22.792376307072001</v>
      </c>
    </row>
    <row r="18" spans="1:6" x14ac:dyDescent="0.2">
      <c r="A18" t="s">
        <v>77</v>
      </c>
      <c r="B18" s="6">
        <f>'Ops Storage'!G51/1000</f>
        <v>0.90787234736842104</v>
      </c>
      <c r="C18" s="6">
        <f>'Ops Storage'!G55/1000</f>
        <v>31.276566599999999</v>
      </c>
      <c r="D18" s="6">
        <f>'Ops Storage'!G61/1000</f>
        <v>24.111769383840002</v>
      </c>
    </row>
    <row r="19" spans="1:6" x14ac:dyDescent="0.2">
      <c r="A19" t="s">
        <v>78</v>
      </c>
      <c r="B19" s="6">
        <f>'Ops Storage'!H51/1000</f>
        <v>0.97103374736842096</v>
      </c>
      <c r="C19" s="6">
        <f>'Ops Storage'!H55/1000</f>
        <v>38.733733800000003</v>
      </c>
      <c r="D19" s="6">
        <f>'Ops Storage'!H61/1000</f>
        <v>25.431162460608</v>
      </c>
    </row>
    <row r="20" spans="1:6" x14ac:dyDescent="0.2">
      <c r="A20" t="s">
        <v>79</v>
      </c>
      <c r="B20" s="6">
        <f>'Ops Storage'!I51/1000</f>
        <v>1.0314831473684209</v>
      </c>
      <c r="C20" s="6">
        <f>'Ops Storage'!I55/1000</f>
        <v>46.554739199999993</v>
      </c>
      <c r="D20" s="6">
        <f>'Ops Storage'!I61/1000</f>
        <v>26.750555537375998</v>
      </c>
    </row>
    <row r="21" spans="1:6" x14ac:dyDescent="0.2">
      <c r="A21" t="s">
        <v>80</v>
      </c>
      <c r="B21" s="6">
        <f>'Ops Storage'!J51/1000</f>
        <v>1.0908390473684211</v>
      </c>
      <c r="C21" s="6">
        <f>'Ops Storage'!J55/1000</f>
        <v>54.716219700000003</v>
      </c>
      <c r="D21" s="6">
        <f>'Ops Storage'!J61/1000</f>
        <v>28.069948614144</v>
      </c>
    </row>
    <row r="22" spans="1:6" x14ac:dyDescent="0.2">
      <c r="A22" t="s">
        <v>81</v>
      </c>
      <c r="B22" s="6">
        <f>'Ops Storage'!K51/1000</f>
        <v>1.147386047368421</v>
      </c>
      <c r="C22" s="6">
        <f>'Ops Storage'!K55/1000</f>
        <v>63.205979100000008</v>
      </c>
      <c r="D22" s="6">
        <f>'Ops Storage'!K61/1000</f>
        <v>29.389341690911998</v>
      </c>
    </row>
    <row r="23" spans="1:6" x14ac:dyDescent="0.2">
      <c r="A23" t="s">
        <v>82</v>
      </c>
      <c r="B23" s="6">
        <f>'Ops Storage'!L51/1000</f>
        <v>1.202169047368421</v>
      </c>
      <c r="C23" s="6">
        <f>'Ops Storage'!L55/1000</f>
        <v>72.016511700000009</v>
      </c>
      <c r="D23" s="6">
        <f>'Ops Storage'!L61/1000</f>
        <v>30.708734767679999</v>
      </c>
    </row>
    <row r="25" spans="1:6" ht="32" x14ac:dyDescent="0.2">
      <c r="A25" s="2" t="s">
        <v>341</v>
      </c>
      <c r="B25" s="2" t="s">
        <v>390</v>
      </c>
      <c r="C25" s="2" t="s">
        <v>391</v>
      </c>
      <c r="D25" s="2" t="s">
        <v>392</v>
      </c>
      <c r="E25" s="2" t="s">
        <v>393</v>
      </c>
      <c r="F25" s="2" t="s">
        <v>394</v>
      </c>
    </row>
    <row r="26" spans="1:6" x14ac:dyDescent="0.2">
      <c r="A26" t="s">
        <v>73</v>
      </c>
      <c r="B26" s="6">
        <f>'Ops Storage'!C57/1000</f>
        <v>1.3193930767680002</v>
      </c>
      <c r="C26" s="6">
        <f>'Ops Storage'!C58/1000</f>
        <v>1.0807020000000001</v>
      </c>
      <c r="D26" s="6">
        <f>'Ops Storage'!C59/1000</f>
        <v>2.7</v>
      </c>
      <c r="E26" s="6">
        <f>'Ops Storage'!C60/1000</f>
        <v>1.2978000000000001</v>
      </c>
      <c r="F26" s="6">
        <f>('Ops Storage'!C42+'Ops Storage'!C43)/1000</f>
        <v>3.6659835000000003</v>
      </c>
    </row>
    <row r="27" spans="1:6" x14ac:dyDescent="0.2">
      <c r="A27" t="s">
        <v>74</v>
      </c>
      <c r="B27" s="6">
        <f>'Ops Storage'!D57/1000</f>
        <v>2.6387861535360004</v>
      </c>
      <c r="C27" s="6">
        <f>'Ops Storage'!D58/1000</f>
        <v>2.1614040000000001</v>
      </c>
      <c r="D27" s="6">
        <f>'Ops Storage'!D59/1000</f>
        <v>5.4</v>
      </c>
      <c r="E27" s="6">
        <f>'Ops Storage'!D60/1000</f>
        <v>2.5956000000000001</v>
      </c>
      <c r="F27" s="6">
        <f>('Ops Storage'!D42+'Ops Storage'!D43)/1000</f>
        <v>5.9381550000000001</v>
      </c>
    </row>
    <row r="28" spans="1:6" x14ac:dyDescent="0.2">
      <c r="A28" t="s">
        <v>75</v>
      </c>
      <c r="B28" s="6">
        <f>'Ops Storage'!E57/1000</f>
        <v>3.9581792303040002</v>
      </c>
      <c r="C28" s="6">
        <f>'Ops Storage'!E58/1000</f>
        <v>2.1614040000000001</v>
      </c>
      <c r="D28" s="6">
        <f>'Ops Storage'!E59/1000</f>
        <v>8.1</v>
      </c>
      <c r="E28" s="6">
        <f>'Ops Storage'!E60/1000</f>
        <v>3.8933999999999997</v>
      </c>
      <c r="F28" s="6">
        <f>('Ops Storage'!E42+'Ops Storage'!E43)/1000</f>
        <v>8.2334010000000006</v>
      </c>
    </row>
    <row r="29" spans="1:6" x14ac:dyDescent="0.2">
      <c r="A29" t="s">
        <v>76</v>
      </c>
      <c r="B29" s="6">
        <f>'Ops Storage'!F57/1000</f>
        <v>5.2775723070720009</v>
      </c>
      <c r="C29" s="6">
        <f>'Ops Storage'!F58/1000</f>
        <v>2.1614040000000001</v>
      </c>
      <c r="D29" s="6">
        <f>'Ops Storage'!F59/1000</f>
        <v>8.1</v>
      </c>
      <c r="E29" s="6">
        <f>'Ops Storage'!F60/1000</f>
        <v>3.8933999999999997</v>
      </c>
      <c r="F29" s="6">
        <f>('Ops Storage'!F42+'Ops Storage'!F43)/1000</f>
        <v>10.6156746</v>
      </c>
    </row>
    <row r="30" spans="1:6" x14ac:dyDescent="0.2">
      <c r="A30" t="s">
        <v>77</v>
      </c>
      <c r="B30" s="6">
        <f>'Ops Storage'!G57/1000</f>
        <v>6.5969653838400006</v>
      </c>
      <c r="C30" s="6">
        <f>'Ops Storage'!G58/1000</f>
        <v>2.1614040000000001</v>
      </c>
      <c r="D30" s="6">
        <f>'Ops Storage'!G59/1000</f>
        <v>8.1</v>
      </c>
      <c r="E30" s="6">
        <f>'Ops Storage'!G60/1000</f>
        <v>3.8933999999999997</v>
      </c>
      <c r="F30" s="6">
        <f>('Ops Storage'!G42+'Ops Storage'!G43)/1000</f>
        <v>13.138784399999999</v>
      </c>
    </row>
    <row r="31" spans="1:6" x14ac:dyDescent="0.2">
      <c r="A31" t="s">
        <v>78</v>
      </c>
      <c r="B31" s="6">
        <f>'Ops Storage'!H57/1000</f>
        <v>7.9163584606080013</v>
      </c>
      <c r="C31" s="6">
        <f>'Ops Storage'!H58/1000</f>
        <v>2.1614040000000001</v>
      </c>
      <c r="D31" s="6">
        <f>'Ops Storage'!H59/1000</f>
        <v>8.1</v>
      </c>
      <c r="E31" s="6">
        <f>'Ops Storage'!H60/1000</f>
        <v>3.8933999999999997</v>
      </c>
      <c r="F31" s="6">
        <f>('Ops Storage'!H42+'Ops Storage'!H43)/1000</f>
        <v>15.7537296</v>
      </c>
    </row>
    <row r="32" spans="1:6" x14ac:dyDescent="0.2">
      <c r="A32" t="s">
        <v>79</v>
      </c>
      <c r="B32" s="6">
        <f>'Ops Storage'!I57/1000</f>
        <v>9.235751537376002</v>
      </c>
      <c r="C32" s="6">
        <f>'Ops Storage'!I58/1000</f>
        <v>2.1614040000000001</v>
      </c>
      <c r="D32" s="6">
        <f>'Ops Storage'!I59/1000</f>
        <v>8.1</v>
      </c>
      <c r="E32" s="6">
        <f>'Ops Storage'!I60/1000</f>
        <v>3.8933999999999997</v>
      </c>
      <c r="F32" s="6">
        <f>('Ops Storage'!I42+'Ops Storage'!I43)/1000</f>
        <v>18.497129400000002</v>
      </c>
    </row>
    <row r="33" spans="1:6" x14ac:dyDescent="0.2">
      <c r="A33" t="s">
        <v>80</v>
      </c>
      <c r="B33" s="6">
        <f>'Ops Storage'!J57/1000</f>
        <v>10.555144614144002</v>
      </c>
      <c r="C33" s="6">
        <f>'Ops Storage'!J58/1000</f>
        <v>2.1614040000000001</v>
      </c>
      <c r="D33" s="6">
        <f>'Ops Storage'!J59/1000</f>
        <v>8.1</v>
      </c>
      <c r="E33" s="6">
        <f>'Ops Storage'!J60/1000</f>
        <v>3.8933999999999997</v>
      </c>
      <c r="F33" s="6">
        <f>('Ops Storage'!J42+'Ops Storage'!J43)/1000</f>
        <v>21.359620800000002</v>
      </c>
    </row>
    <row r="34" spans="1:6" x14ac:dyDescent="0.2">
      <c r="A34" t="s">
        <v>81</v>
      </c>
      <c r="B34" s="6">
        <f>'Ops Storage'!K57/1000</f>
        <v>11.874537690912</v>
      </c>
      <c r="C34" s="6">
        <f>'Ops Storage'!K58/1000</f>
        <v>2.1614040000000001</v>
      </c>
      <c r="D34" s="6">
        <f>'Ops Storage'!K59/1000</f>
        <v>8.1</v>
      </c>
      <c r="E34" s="6">
        <f>'Ops Storage'!K60/1000</f>
        <v>3.8933999999999997</v>
      </c>
      <c r="F34" s="6">
        <f>('Ops Storage'!K42+'Ops Storage'!K43)/1000</f>
        <v>24.300035999999999</v>
      </c>
    </row>
    <row r="35" spans="1:6" x14ac:dyDescent="0.2">
      <c r="A35" t="s">
        <v>82</v>
      </c>
      <c r="B35" s="6">
        <f>'Ops Storage'!L57/1000</f>
        <v>13.19393076768</v>
      </c>
      <c r="C35" s="6">
        <f>'Ops Storage'!L58/1000</f>
        <v>2.1614040000000001</v>
      </c>
      <c r="D35" s="6">
        <f>'Ops Storage'!L59/1000</f>
        <v>8.1</v>
      </c>
      <c r="E35" s="6">
        <f>'Ops Storage'!L60/1000</f>
        <v>3.8933999999999997</v>
      </c>
      <c r="F35" s="6">
        <f>('Ops Storage'!L42+'Ops Storage'!L43)/1000</f>
        <v>27.362445000000001</v>
      </c>
    </row>
    <row r="37" spans="1:6" ht="16" x14ac:dyDescent="0.2">
      <c r="A37" s="2" t="s">
        <v>341</v>
      </c>
      <c r="B37" s="2" t="s">
        <v>395</v>
      </c>
    </row>
    <row r="38" spans="1:6" x14ac:dyDescent="0.2">
      <c r="A38" t="s">
        <v>73</v>
      </c>
      <c r="B38" s="5">
        <f>'Ops Compute'!C3</f>
        <v>16420799</v>
      </c>
    </row>
    <row r="39" spans="1:6" x14ac:dyDescent="0.2">
      <c r="A39" t="s">
        <v>74</v>
      </c>
      <c r="B39" s="5">
        <f>'Ops Compute'!D3</f>
        <v>32841598</v>
      </c>
    </row>
    <row r="40" spans="1:6" x14ac:dyDescent="0.2">
      <c r="A40" t="s">
        <v>75</v>
      </c>
      <c r="B40" s="5">
        <f>'Ops Compute'!E3</f>
        <v>49262397</v>
      </c>
    </row>
    <row r="41" spans="1:6" x14ac:dyDescent="0.2">
      <c r="A41" t="s">
        <v>76</v>
      </c>
      <c r="B41" s="5">
        <f>'Ops Compute'!F3</f>
        <v>65683196</v>
      </c>
    </row>
    <row r="42" spans="1:6" x14ac:dyDescent="0.2">
      <c r="A42" t="s">
        <v>77</v>
      </c>
      <c r="B42" s="5">
        <f>'Ops Compute'!G3</f>
        <v>82103995</v>
      </c>
    </row>
    <row r="43" spans="1:6" x14ac:dyDescent="0.2">
      <c r="A43" t="s">
        <v>78</v>
      </c>
      <c r="B43" s="5">
        <f>'Ops Compute'!H3</f>
        <v>98524794</v>
      </c>
    </row>
    <row r="44" spans="1:6" x14ac:dyDescent="0.2">
      <c r="A44" t="s">
        <v>79</v>
      </c>
      <c r="B44" s="5">
        <f>'Ops Compute'!I3</f>
        <v>114945593</v>
      </c>
    </row>
    <row r="45" spans="1:6" x14ac:dyDescent="0.2">
      <c r="A45" t="s">
        <v>80</v>
      </c>
      <c r="B45" s="5">
        <f>'Ops Compute'!J3</f>
        <v>131366392</v>
      </c>
    </row>
    <row r="46" spans="1:6" x14ac:dyDescent="0.2">
      <c r="A46" t="s">
        <v>81</v>
      </c>
      <c r="B46" s="5">
        <f>'Ops Compute'!K3</f>
        <v>147787191</v>
      </c>
    </row>
    <row r="47" spans="1:6" x14ac:dyDescent="0.2">
      <c r="A47" t="s">
        <v>82</v>
      </c>
      <c r="B47" s="5">
        <f>'Ops Compute'!L3</f>
        <v>164207990</v>
      </c>
    </row>
    <row r="49" spans="1:3" ht="32" x14ac:dyDescent="0.2">
      <c r="A49" s="2" t="s">
        <v>341</v>
      </c>
      <c r="B49" s="2" t="s">
        <v>396</v>
      </c>
      <c r="C49" s="2" t="s">
        <v>397</v>
      </c>
    </row>
    <row r="50" spans="1:3" x14ac:dyDescent="0.2">
      <c r="A50" t="s">
        <v>73</v>
      </c>
      <c r="B50" s="9">
        <f>'Ops Costs'!C25</f>
        <v>5.5747824715904661</v>
      </c>
      <c r="C50" s="9">
        <f>'Ops Costs'!C26</f>
        <v>5.5747824715904661</v>
      </c>
    </row>
    <row r="51" spans="1:3" x14ac:dyDescent="0.2">
      <c r="A51" t="s">
        <v>74</v>
      </c>
      <c r="B51" s="9">
        <f>'Ops Costs'!D25</f>
        <v>5.3664345665852915</v>
      </c>
      <c r="C51" s="9">
        <f>'Ops Costs'!D26</f>
        <v>10.941217038175758</v>
      </c>
    </row>
    <row r="52" spans="1:3" x14ac:dyDescent="0.2">
      <c r="A52" t="s">
        <v>75</v>
      </c>
      <c r="B52" s="9">
        <f>'Ops Costs'!E25</f>
        <v>1.9281265558612919</v>
      </c>
      <c r="C52" s="9">
        <f>'Ops Costs'!E26</f>
        <v>12.86934359403705</v>
      </c>
    </row>
    <row r="53" spans="1:3" x14ac:dyDescent="0.2">
      <c r="A53" t="s">
        <v>76</v>
      </c>
      <c r="B53" s="9">
        <f>'Ops Costs'!F25</f>
        <v>6.3904741208820912</v>
      </c>
      <c r="C53" s="9">
        <f>'Ops Costs'!F26</f>
        <v>19.259817714919141</v>
      </c>
    </row>
    <row r="54" spans="1:3" x14ac:dyDescent="0.2">
      <c r="A54" t="s">
        <v>77</v>
      </c>
      <c r="B54" s="9">
        <f>'Ops Costs'!G25</f>
        <v>7.6374952991016922</v>
      </c>
      <c r="C54" s="9">
        <f>'Ops Costs'!G26</f>
        <v>26.897313014020831</v>
      </c>
    </row>
    <row r="55" spans="1:3" x14ac:dyDescent="0.2">
      <c r="A55" t="s">
        <v>78</v>
      </c>
      <c r="B55" s="9">
        <f>'Ops Costs'!H25</f>
        <v>4.4383649744448919</v>
      </c>
      <c r="C55" s="9">
        <f>'Ops Costs'!H26</f>
        <v>31.335677988465722</v>
      </c>
    </row>
    <row r="56" spans="1:3" x14ac:dyDescent="0.2">
      <c r="A56" t="s">
        <v>79</v>
      </c>
      <c r="B56" s="9">
        <f>'Ops Costs'!I25</f>
        <v>0.60528397627169161</v>
      </c>
      <c r="C56" s="9">
        <f>'Ops Costs'!I26</f>
        <v>31.940961964737415</v>
      </c>
    </row>
    <row r="57" spans="1:3" x14ac:dyDescent="0.2">
      <c r="A57" t="s">
        <v>80</v>
      </c>
      <c r="B57" s="9">
        <f>'Ops Costs'!J25</f>
        <v>5.869049537254492</v>
      </c>
      <c r="C57" s="9">
        <f>'Ops Costs'!J26</f>
        <v>37.810011501991909</v>
      </c>
    </row>
    <row r="58" spans="1:3" x14ac:dyDescent="0.2">
      <c r="A58" t="s">
        <v>81</v>
      </c>
      <c r="B58" s="9">
        <f>'Ops Costs'!K25</f>
        <v>6.0904576203248908</v>
      </c>
      <c r="C58" s="9">
        <f>'Ops Costs'!K26</f>
        <v>43.9004691223168</v>
      </c>
    </row>
    <row r="59" spans="1:3" x14ac:dyDescent="0.2">
      <c r="A59" t="s">
        <v>82</v>
      </c>
      <c r="B59" s="9">
        <f>'Ops Costs'!L25</f>
        <v>0.13717067980529163</v>
      </c>
      <c r="C59" s="9">
        <f>'Ops Costs'!L26</f>
        <v>44.037639802122094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Reference Data</vt:lpstr>
      <vt:lpstr>Ops Storage</vt:lpstr>
      <vt:lpstr>Ops Compute</vt:lpstr>
      <vt:lpstr>Model</vt:lpstr>
      <vt:lpstr>Ops Costs</vt:lpstr>
      <vt:lpstr>Purchase Plan</vt:lpstr>
      <vt:lpstr>International Compute</vt:lpstr>
      <vt:lpstr>Yearly Readiness</vt:lpstr>
      <vt:lpstr>Hardware Refresh</vt:lpstr>
      <vt:lpstr>Charts</vt:lpstr>
      <vt:lpstr>computeLifetime</vt:lpstr>
      <vt:lpstr>cpuFac</vt:lpstr>
      <vt:lpstr>diskFac</vt:lpstr>
      <vt:lpstr>qservFac</vt:lpstr>
      <vt:lpstr>scaleYear</vt:lpstr>
      <vt:lpstr>storageLifetime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Tanikanti, Aditya</cp:lastModifiedBy>
  <dcterms:created xsi:type="dcterms:W3CDTF">2026-03-23T19:33:26Z</dcterms:created>
  <dcterms:modified xsi:type="dcterms:W3CDTF">2026-03-23T19:59:25Z</dcterms:modified>
</cp:coreProperties>
</file>