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erence Data" sheetId="1" state="visible" r:id="rId3"/>
    <sheet name="Ops Storage" sheetId="2" state="visible" r:id="rId4"/>
    <sheet name="Ops Compute" sheetId="3" state="visible" r:id="rId5"/>
    <sheet name="Model" sheetId="4" state="visible" r:id="rId6"/>
    <sheet name="Ops Costs" sheetId="5" state="visible" r:id="rId7"/>
    <sheet name="Purchase Plan" sheetId="6" state="visible" r:id="rId8"/>
    <sheet name="International Compute" sheetId="7" state="visible" r:id="rId9"/>
    <sheet name="Yearly Readiness" sheetId="8" state="visible" r:id="rId10"/>
    <sheet name="Hardware Refresh" sheetId="9" state="visible" r:id="rId11"/>
    <sheet name="Charts" sheetId="10" state="visible" r:id="rId12"/>
  </sheets>
  <definedNames>
    <definedName function="false" hidden="false" name="computeLifetime" vbProcedure="false">Model!$B$23</definedName>
    <definedName function="false" hidden="false" name="cpuFac" vbProcedure="false">Model!$C$19</definedName>
    <definedName function="false" hidden="false" name="diskFac" vbProcedure="false">Model!$C$20</definedName>
    <definedName function="false" hidden="false" name="qservFac" vbProcedure="false">Model!$C$21</definedName>
    <definedName function="false" hidden="false" name="scaleYear" vbProcedure="false">Model!$B$22</definedName>
    <definedName function="false" hidden="false" name="storageLifetime" vbProcedure="false">Model!$B$24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<sst xmlns="http://schemas.openxmlformats.org/spreadsheetml/2006/main" count="723" uniqueCount="405">
  <si>
    <t xml:space="preserve">Rubin USDF Sizing Model — Reference Data</t>
  </si>
  <si>
    <t xml:space="preserve">Parameter</t>
  </si>
  <si>
    <t xml:space="preserve">Value</t>
  </si>
  <si>
    <t xml:space="preserve">Source / Notes</t>
  </si>
  <si>
    <t xml:space="preserve">DRP Estimates</t>
  </si>
  <si>
    <t xml:space="preserve">DR1 node-days (reference only)</t>
  </si>
  <si>
    <t xml:space="preserve">Not used in formulas; see core_hours_per_input_tb</t>
  </si>
  <si>
    <t xml:space="preserve">DRP CPU doc reference</t>
  </si>
  <si>
    <t xml:space="preserve">DRP Resource Usage Estimates — CPU from DM-53697 (v30_0_0_rc2), DM-52836 (w_2025_41)</t>
  </si>
  <si>
    <t xml:space="preserve">DRP Resource Usage Estimates</t>
  </si>
  <si>
    <t xml:space="preserve">Safety margin</t>
  </si>
  <si>
    <t xml:space="preserve">Cores per node</t>
  </si>
  <si>
    <t xml:space="preserve">Processing window (days)</t>
  </si>
  <si>
    <t xml:space="preserve">DR1 total storage (PB)</t>
  </si>
  <si>
    <t xml:space="preserve">Compressed</t>
  </si>
  <si>
    <t xml:space="preserve">DR1 release products (PB)</t>
  </si>
  <si>
    <t xml:space="preserve">Wall-to-CPU ratio</t>
  </si>
  <si>
    <t xml:space="preserve">Task-level; see idle multiplier</t>
  </si>
  <si>
    <t xml:space="preserve">DRP idle / inter-stage core multiplier</t>
  </si>
  <si>
    <t xml:space="preserve">Calendar / gap overhead on concurrent DRP cores (K-T; CM to refine)</t>
  </si>
  <si>
    <t xml:space="preserve">Developer-pilot node-days / year</t>
  </si>
  <si>
    <t xml:space="preserve">Added to DRP core-hours (K-T; confirm with Yusra/CM)</t>
  </si>
  <si>
    <t xml:space="preserve">USDF-RSP extra fraction of DRP concurrent</t>
  </si>
  <si>
    <t xml:space="preserve">Applied after idle multiplier on DRP cores row</t>
  </si>
  <si>
    <t xml:space="preserve">DR2 multiplier</t>
  </si>
  <si>
    <t xml:space="preserve">Prompt Products (RFC-1134)</t>
  </si>
  <si>
    <t xml:space="preserve">Tier 1 TB/night</t>
  </si>
  <si>
    <t xml:space="preserve">Long-term retention until DR1</t>
  </si>
  <si>
    <t xml:space="preserve">Tier 2 TB/night</t>
  </si>
  <si>
    <t xml:space="preserve">30-day rolling</t>
  </si>
  <si>
    <t xml:space="preserve">DR1 target year</t>
  </si>
  <si>
    <t xml:space="preserve">Qserv (from Igor)</t>
  </si>
  <si>
    <t xml:space="preserve">Current nodes</t>
  </si>
  <si>
    <t xml:space="preserve">Storage TB per node</t>
  </si>
  <si>
    <t xml:space="preserve">Replication factor</t>
  </si>
  <si>
    <t xml:space="preserve">Current Fleet (2026 — Rubin USDF)</t>
  </si>
  <si>
    <t xml:space="preserve">Milano batch nodes</t>
  </si>
  <si>
    <t xml:space="preserve">FY24 CPU Planner, Rubin USDF</t>
  </si>
  <si>
    <t xml:space="preserve">Torino batch nodes</t>
  </si>
  <si>
    <t xml:space="preserve">Confirmed available to Rubin</t>
  </si>
  <si>
    <t xml:space="preserve">K8s nodes</t>
  </si>
  <si>
    <t xml:space="preserve">Initial k8s Capture, Rubin USDF</t>
  </si>
  <si>
    <t xml:space="preserve">Interactive nodes</t>
  </si>
  <si>
    <t xml:space="preserve">Initial InteractiveWorkflow Cap</t>
  </si>
  <si>
    <t xml:space="preserve">GPU H200 nodes</t>
  </si>
  <si>
    <t xml:space="preserve">Initial GPU Capture, Rubin USDF</t>
  </si>
  <si>
    <t xml:space="preserve">Qserv nodes</t>
  </si>
  <si>
    <t xml:space="preserve">From conversation with Igor</t>
  </si>
  <si>
    <t xml:space="preserve">Cassandra nodes</t>
  </si>
  <si>
    <t xml:space="preserve">Rubin Hardware Summary Mar 2025 JTM (Yemi)</t>
  </si>
  <si>
    <t xml:space="preserve">NVMe servers</t>
  </si>
  <si>
    <t xml:space="preserve">Weka / flash tier (JTM)</t>
  </si>
  <si>
    <t xml:space="preserve">JBOD enclosures (total / deployed)</t>
  </si>
  <si>
    <t xml:space="preserve">62 / 37</t>
  </si>
  <si>
    <t xml:space="preserve">JTM</t>
  </si>
  <si>
    <t xml:space="preserve">Installed storage (PB)</t>
  </si>
  <si>
    <t xml:space="preserve">Initial Storage Capture, Rubin USDF</t>
  </si>
  <si>
    <t xml:space="preserve">Total batch cores</t>
  </si>
  <si>
    <t xml:space="preserve">Milano + Torino</t>
  </si>
  <si>
    <t xml:space="preserve">Node Costs</t>
  </si>
  <si>
    <t xml:space="preserve">Milano node (USD)</t>
  </si>
  <si>
    <t xml:space="preserve">Torino node (USD)</t>
  </si>
  <si>
    <t xml:space="preserve">Estimated</t>
  </si>
  <si>
    <t xml:space="preserve">K8s node (USD)</t>
  </si>
  <si>
    <t xml:space="preserve">Qserv node (USD)</t>
  </si>
  <si>
    <t xml:space="preserve">GPU H200 node (USD)</t>
  </si>
  <si>
    <t xml:space="preserve">Storage Costs ($/TB)</t>
  </si>
  <si>
    <t xml:space="preserve">Flash (NVMe/Weka)</t>
  </si>
  <si>
    <t xml:space="preserve">Normal (SATA HDD/Ceph)</t>
  </si>
  <si>
    <t xml:space="preserve">Latent (Object Store)</t>
  </si>
  <si>
    <t xml:space="preserve">Tape (LTO)</t>
  </si>
  <si>
    <t xml:space="preserve">Lifecycle</t>
  </si>
  <si>
    <t xml:space="preserve">Compute lifetime (years)</t>
  </si>
  <si>
    <t xml:space="preserve">Storage lifetime (years)</t>
  </si>
  <si>
    <t xml:space="preserve">Price Decrease Factors (annual)</t>
  </si>
  <si>
    <t xml:space="preserve">CPU</t>
  </si>
  <si>
    <t xml:space="preserve">Storage</t>
  </si>
  <si>
    <t xml:space="preserve">Qserv</t>
  </si>
  <si>
    <t xml:space="preserve">Ops Storage — USDF Parameters</t>
  </si>
  <si>
    <t xml:space="preserve">Unit</t>
  </si>
  <si>
    <t xml:space="preserve">LOY1</t>
  </si>
  <si>
    <t xml:space="preserve">LOY2</t>
  </si>
  <si>
    <t xml:space="preserve">LOY3</t>
  </si>
  <si>
    <t xml:space="preserve">LOY4</t>
  </si>
  <si>
    <t xml:space="preserve">LOY5</t>
  </si>
  <si>
    <t xml:space="preserve">LOY6</t>
  </si>
  <si>
    <t xml:space="preserve">LOY7</t>
  </si>
  <si>
    <t xml:space="preserve">LOY8</t>
  </si>
  <si>
    <t xml:space="preserve">LOY9</t>
  </si>
  <si>
    <t xml:space="preserve">LOY10</t>
  </si>
  <si>
    <t xml:space="preserve">Objects</t>
  </si>
  <si>
    <t xml:space="preserve">count</t>
  </si>
  <si>
    <t xml:space="preserve">Sources</t>
  </si>
  <si>
    <t xml:space="preserve">ForcedSources</t>
  </si>
  <si>
    <t xml:space="preserve">Science users</t>
  </si>
  <si>
    <t xml:space="preserve">users</t>
  </si>
  <si>
    <t xml:space="preserve">Storage per science user</t>
  </si>
  <si>
    <t xml:space="preserve">TB</t>
  </si>
  <si>
    <t xml:space="preserve">LSSTCam image size</t>
  </si>
  <si>
    <t xml:space="preserve">Raw image compression (science)</t>
  </si>
  <si>
    <t xml:space="preserve">factor</t>
  </si>
  <si>
    <t xml:space="preserve">Lossy image compression</t>
  </si>
  <si>
    <t xml:space="preserve">Calibration image compression</t>
  </si>
  <si>
    <t xml:space="preserve">Observing nights per year</t>
  </si>
  <si>
    <t xml:space="preserve">nights</t>
  </si>
  <si>
    <t xml:space="preserve">Visits per night</t>
  </si>
  <si>
    <t xml:space="preserve">visits</t>
  </si>
  <si>
    <t xml:space="preserve">Images per visit</t>
  </si>
  <si>
    <t xml:space="preserve">images</t>
  </si>
  <si>
    <t xml:space="preserve">Calibration images per day</t>
  </si>
  <si>
    <t xml:space="preserve">LSSTCam Science images (per year)</t>
  </si>
  <si>
    <t xml:space="preserve">LSSTCam Engineering images (1% of science)</t>
  </si>
  <si>
    <t xml:space="preserve">LSSTCam Calibration images (per year)</t>
  </si>
  <si>
    <t xml:space="preserve">Number of coadd data products</t>
  </si>
  <si>
    <t xml:space="preserve">Object table row size</t>
  </si>
  <si>
    <t xml:space="preserve">bytes</t>
  </si>
  <si>
    <t xml:space="preserve">Object_Extra table row size</t>
  </si>
  <si>
    <t xml:space="preserve">Source table row size</t>
  </si>
  <si>
    <t xml:space="preserve">ForcedSource table row size</t>
  </si>
  <si>
    <t xml:space="preserve">Qserv replication factor</t>
  </si>
  <si>
    <t xml:space="preserve">Dataset Sizing (annual production)</t>
  </si>
  <si>
    <t xml:space="preserve">Dataset</t>
  </si>
  <si>
    <t xml:space="preserve">APDB</t>
  </si>
  <si>
    <t xml:space="preserve">Prompt Tier 1 (cumulative)</t>
  </si>
  <si>
    <t xml:space="preserve">Prompt Tier 2 (30-day rolling)</t>
  </si>
  <si>
    <t xml:space="preserve">LSSTCam Raw Images (per year)</t>
  </si>
  <si>
    <t xml:space="preserve">LSSTCam Output Coadd Images (per DR)</t>
  </si>
  <si>
    <t xml:space="preserve">LSSTCam Output Images (per year)</t>
  </si>
  <si>
    <t xml:space="preserve">LSSTCam Output Parquet (per year)</t>
  </si>
  <si>
    <t xml:space="preserve">Sims output</t>
  </si>
  <si>
    <t xml:space="preserve">Scratch (35% of output images)</t>
  </si>
  <si>
    <t xml:space="preserve">Qserv Czar/Object</t>
  </si>
  <si>
    <t xml:space="preserve">Qserv Database</t>
  </si>
  <si>
    <t xml:space="preserve">Science User Home</t>
  </si>
  <si>
    <t xml:space="preserve">Other/Misc (20%)</t>
  </si>
  <si>
    <t xml:space="preserve">USDF Storage On-Floor (by tier)</t>
  </si>
  <si>
    <t xml:space="preserve">Storage Tier</t>
  </si>
  <si>
    <t xml:space="preserve">APDB (fast)</t>
  </si>
  <si>
    <t xml:space="preserve">Qserv Czar (fast, 3yr window)</t>
  </si>
  <si>
    <t xml:space="preserve">Total Fast (NVMe)</t>
  </si>
  <si>
    <t xml:space="preserve">Total Normal (HDD)</t>
  </si>
  <si>
    <t xml:space="preserve">Qserv Storage (3yr window)</t>
  </si>
  <si>
    <t xml:space="preserve">Raw Images (object store, cumulative)</t>
  </si>
  <si>
    <t xml:space="preserve">Output Images lossy (obj store, 2yr)</t>
  </si>
  <si>
    <t xml:space="preserve">Coadd Images (obj store, 3yr)</t>
  </si>
  <si>
    <t xml:space="preserve">Output Parquet (obj store, 3yr)</t>
  </si>
  <si>
    <t xml:space="preserve">Total Object Store</t>
  </si>
  <si>
    <t xml:space="preserve">Raw Images (tape, cumulative)</t>
  </si>
  <si>
    <t xml:space="preserve">Data Products Backup (tape)</t>
  </si>
  <si>
    <t xml:space="preserve">Object Store Products (tape)</t>
  </si>
  <si>
    <t xml:space="preserve">Total Tape</t>
  </si>
  <si>
    <t xml:space="preserve">Grand Total USDF Storage</t>
  </si>
  <si>
    <t xml:space="preserve">Ops Compute — USDF</t>
  </si>
  <si>
    <t xml:space="preserve">Category</t>
  </si>
  <si>
    <t xml:space="preserve">DRP core-hours needed</t>
  </si>
  <si>
    <t xml:space="preserve">core-hours</t>
  </si>
  <si>
    <t xml:space="preserve">DRP cores needed (batch)</t>
  </si>
  <si>
    <t xml:space="preserve">cores</t>
  </si>
  <si>
    <t xml:space="preserve">DRP cores annual increase</t>
  </si>
  <si>
    <t xml:space="preserve">DRP cores refresh (3yr cycle)</t>
  </si>
  <si>
    <t xml:space="preserve">DRP cores to purchase</t>
  </si>
  <si>
    <t xml:space="preserve">AP cores needed (K8s / prompt, not batch)</t>
  </si>
  <si>
    <t xml:space="preserve">AP cores initial purchase (LOY1 only)</t>
  </si>
  <si>
    <t xml:space="preserve">AP cores refresh (3yr full replace)</t>
  </si>
  <si>
    <t xml:space="preserve">AP cores to purchase (K8s budget)</t>
  </si>
  <si>
    <t xml:space="preserve">DAC/LSP cores (10% of DRP)</t>
  </si>
  <si>
    <t xml:space="preserve">DAC cores annual increase</t>
  </si>
  <si>
    <t xml:space="preserve">DAC cores refresh (3yr)</t>
  </si>
  <si>
    <t xml:space="preserve">DAC cores to purchase</t>
  </si>
  <si>
    <t xml:space="preserve">Staff LSP cores (10% of DAC)</t>
  </si>
  <si>
    <t xml:space="preserve">Staff cores annual increase</t>
  </si>
  <si>
    <t xml:space="preserve">Staff cores refresh (3yr)</t>
  </si>
  <si>
    <t xml:space="preserve">Staff cores to purchase</t>
  </si>
  <si>
    <t xml:space="preserve">Qserv data per node (capacity this LOY)</t>
  </si>
  <si>
    <t xml:space="preserve">TB/node</t>
  </si>
  <si>
    <t xml:space="preserve">Qserv nodes needed (total on floor)</t>
  </si>
  <si>
    <t xml:space="preserve">nodes</t>
  </si>
  <si>
    <t xml:space="preserve">Qserv nodes annual increase</t>
  </si>
  <si>
    <t xml:space="preserve">Qserv nodes refresh (3yr)</t>
  </si>
  <si>
    <t xml:space="preserve">Qserv nodes to purchase</t>
  </si>
  <si>
    <t xml:space="preserve">K8s infrastructure nodes (workers)</t>
  </si>
  <si>
    <t xml:space="preserve">LSP cores per science user</t>
  </si>
  <si>
    <t xml:space="preserve">cores/user</t>
  </si>
  <si>
    <t xml:space="preserve">BATCH cores to purchase (DRP+DAC+Staff)</t>
  </si>
  <si>
    <t xml:space="preserve">Batch nodes to purchase (Torino-class)</t>
  </si>
  <si>
    <t xml:space="preserve">Cumulative batch cores owned</t>
  </si>
  <si>
    <t xml:space="preserve">AP cores (for formulas)</t>
  </si>
  <si>
    <t xml:space="preserve">Machine Catalog</t>
  </si>
  <si>
    <t xml:space="preserve">Type</t>
  </si>
  <si>
    <t xml:space="preserve">Cores</t>
  </si>
  <si>
    <t xml:space="preserve">RAM (GB)</t>
  </si>
  <si>
    <t xml:space="preserve">Eff Cores/Node</t>
  </si>
  <si>
    <t xml:space="preserve">Cost (USD)</t>
  </si>
  <si>
    <t xml:space="preserve">Purpose</t>
  </si>
  <si>
    <t xml:space="preserve">Milano (batch)</t>
  </si>
  <si>
    <t xml:space="preserve">Current Slurm batch</t>
  </si>
  <si>
    <t xml:space="preserve">Torino (batch)</t>
  </si>
  <si>
    <t xml:space="preserve">Future Slurm batch</t>
  </si>
  <si>
    <t xml:space="preserve">K8s node</t>
  </si>
  <si>
    <t xml:space="preserve">Kubernetes infra</t>
  </si>
  <si>
    <t xml:space="preserve">Qserv node</t>
  </si>
  <si>
    <t xml:space="preserve">Qserv/Cassandra bare-metal</t>
  </si>
  <si>
    <t xml:space="preserve">GPU H200</t>
  </si>
  <si>
    <t xml:space="preserve">GPU compute</t>
  </si>
  <si>
    <t xml:space="preserve">Storage Catalog</t>
  </si>
  <si>
    <t xml:space="preserve">Tier</t>
  </si>
  <si>
    <t xml:space="preserve">$/TB (2026)</t>
  </si>
  <si>
    <t xml:space="preserve">Flash (NVMe / Weka)</t>
  </si>
  <si>
    <t xml:space="preserve">Normal (SATA HDD / Ceph)</t>
  </si>
  <si>
    <t xml:space="preserve">Price &amp; Lifecycle Parameters</t>
  </si>
  <si>
    <t xml:space="preserve">Factor (1-rate)</t>
  </si>
  <si>
    <t xml:space="preserve">CPU annual price decrease</t>
  </si>
  <si>
    <t xml:space="preserve">Storage annual price decrease</t>
  </si>
  <si>
    <t xml:space="preserve">Qserv annual price decrease</t>
  </si>
  <si>
    <t xml:space="preserve">Scale year (baseline)</t>
  </si>
  <si>
    <t xml:space="preserve">Hosting &amp; Overhead</t>
  </si>
  <si>
    <t xml:space="preserve">Nodes per rack</t>
  </si>
  <si>
    <t xml:space="preserve">Rack install cost (USD)</t>
  </si>
  <si>
    <t xml:space="preserve">Hosting per node per year (USD)</t>
  </si>
  <si>
    <t xml:space="preserve">Overhead % of hardware</t>
  </si>
  <si>
    <t xml:space="preserve">Overhead fixed ($M/year)</t>
  </si>
  <si>
    <t xml:space="preserve">Ops Costs — USDF Annual Hardware Spend</t>
  </si>
  <si>
    <t xml:space="preserve">LOY1 (FY2026)</t>
  </si>
  <si>
    <t xml:space="preserve">LOY2 (FY2027)</t>
  </si>
  <si>
    <t xml:space="preserve">LOY3 (FY2028)</t>
  </si>
  <si>
    <t xml:space="preserve">LOY4 (FY2029)</t>
  </si>
  <si>
    <t xml:space="preserve">LOY5 (FY2030)</t>
  </si>
  <si>
    <t xml:space="preserve">LOY6 (FY2031)</t>
  </si>
  <si>
    <t xml:space="preserve">LOY7 (FY2032)</t>
  </si>
  <si>
    <t xml:space="preserve">LOY8 (FY2033)</t>
  </si>
  <si>
    <t xml:space="preserve">LOY9 (FY2034)</t>
  </si>
  <si>
    <t xml:space="preserve">LOY10 (FY2035)</t>
  </si>
  <si>
    <t xml:space="preserve">Total</t>
  </si>
  <si>
    <t xml:space="preserve">Batch compute (nodes * Torino price)</t>
  </si>
  <si>
    <t xml:space="preserve">$M</t>
  </si>
  <si>
    <t xml:space="preserve">Batch compute (price-adjusted)</t>
  </si>
  <si>
    <t xml:space="preserve">Qserv node purchases</t>
  </si>
  <si>
    <t xml:space="preserve">Qserv (price-adjusted)</t>
  </si>
  <si>
    <t xml:space="preserve">GPU H200 purchases</t>
  </si>
  <si>
    <t xml:space="preserve">K8s infrastructure</t>
  </si>
  <si>
    <t xml:space="preserve">Total Compute Cost</t>
  </si>
  <si>
    <t xml:space="preserve">Storage Costs</t>
  </si>
  <si>
    <t xml:space="preserve">Flash storage (NVMe)</t>
  </si>
  <si>
    <t xml:space="preserve">Normal storage (HDD)</t>
  </si>
  <si>
    <t xml:space="preserve">Object Store (latent)</t>
  </si>
  <si>
    <t xml:space="preserve">Tape storage</t>
  </si>
  <si>
    <t xml:space="preserve">Total Storage (price-adjusted)</t>
  </si>
  <si>
    <t xml:space="preserve">Total Storage (base pricing)</t>
  </si>
  <si>
    <t xml:space="preserve">USDF hosting (nodes * $/node/yr)</t>
  </si>
  <si>
    <t xml:space="preserve">Overhead (14% HW + $0.15M fixed)</t>
  </si>
  <si>
    <t xml:space="preserve">GRAND TOTALS</t>
  </si>
  <si>
    <t xml:space="preserve">Annual Total (base pricing)</t>
  </si>
  <si>
    <t xml:space="preserve">Annual Total (price-adjusted)</t>
  </si>
  <si>
    <t xml:space="preserve">Cumulative (price-adjusted)</t>
  </si>
  <si>
    <t xml:space="preserve">Annual Purchase Plan — USDF</t>
  </si>
  <si>
    <t xml:space="preserve">Metric</t>
  </si>
  <si>
    <t xml:space="preserve">Fiscal Year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</si>
  <si>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</si>
  <si>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</si>
  <si>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</si>
  <si>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</si>
  <si>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</si>
  <si>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</si>
  <si>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</si>
  <si>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t xml:space="preserve">FY2033</t>
  </si>
  <si>
    <t xml:space="preserve">FY2034</t>
  </si>
  <si>
    <t xml:space="preserve">FY2035</t>
  </si>
  <si>
    <t xml:space="preserve">Milestone</t>
  </si>
  <si>
    <t xml:space="preserve">DP2</t>
  </si>
  <si>
    <t xml:space="preserve">DR1</t>
  </si>
  <si>
    <t xml:space="preserve">DR2</t>
  </si>
  <si>
    <t xml:space="preserve">DR3</t>
  </si>
  <si>
    <t xml:space="preserve">DR4</t>
  </si>
  <si>
    <t xml:space="preserve">DR5</t>
  </si>
  <si>
    <t xml:space="preserve">DR6</t>
  </si>
  <si>
    <t xml:space="preserve">DR7</t>
  </si>
  <si>
    <t xml:space="preserve">DR8</t>
  </si>
  <si>
    <t xml:space="preserve">DR9</t>
  </si>
  <si>
    <t xml:space="preserve">COMPUTE PURCHASES</t>
  </si>
  <si>
    <t xml:space="preserve">DRP cores needed</t>
  </si>
  <si>
    <t xml:space="preserve">USDF DRP cores (100%)</t>
  </si>
  <si>
    <t xml:space="preserve">AP cores</t>
  </si>
  <si>
    <t xml:space="preserve">DAC/LSP + Staff cores</t>
  </si>
  <si>
    <t xml:space="preserve">Total batch cores needed (DRP+DAC+Staff)</t>
  </si>
  <si>
    <t xml:space="preserve">Cumulative cores available</t>
  </si>
  <si>
    <t xml:space="preserve">Compute gap (need − available)</t>
  </si>
  <si>
    <t xml:space="preserve">Batch cores to purchase (= Ops Compute)</t>
  </si>
  <si>
    <t xml:space="preserve">Batch nodes to purchase (= Ops Compute)</t>
  </si>
  <si>
    <t xml:space="preserve">K8s nodes needed</t>
  </si>
  <si>
    <t xml:space="preserve">K8s incremental purchase</t>
  </si>
  <si>
    <t xml:space="preserve">Qserv nodes to purchase (annual, = Ops Compute)</t>
  </si>
  <si>
    <t xml:space="preserve">STORAGE PURCHASES (by tier)</t>
  </si>
  <si>
    <t xml:space="preserve">Flash (NVMe) on floor</t>
  </si>
  <si>
    <t xml:space="preserve">Flash (NVMe) incremental purchase</t>
  </si>
  <si>
    <t xml:space="preserve">Normal HDD on floor</t>
  </si>
  <si>
    <t xml:space="preserve">Normal HDD incremental purchase</t>
  </si>
  <si>
    <t xml:space="preserve">Object Store on floor</t>
  </si>
  <si>
    <t xml:space="preserve">Object Store incremental purchase</t>
  </si>
  <si>
    <t xml:space="preserve">Qserv on floor</t>
  </si>
  <si>
    <t xml:space="preserve">Qserv incremental purchase</t>
  </si>
  <si>
    <t xml:space="preserve">ONLINE total on floor (hot+warm)</t>
  </si>
  <si>
    <t xml:space="preserve">Online available (installed + purchases)</t>
  </si>
  <si>
    <t xml:space="preserve">Online purchase (hot+warm)</t>
  </si>
  <si>
    <t xml:space="preserve">Online purchase (PB)</t>
  </si>
  <si>
    <t xml:space="preserve">PB</t>
  </si>
  <si>
    <t xml:space="preserve">Tape on floor</t>
  </si>
  <si>
    <t xml:space="preserve">Tape incremental purchase</t>
  </si>
  <si>
    <t xml:space="preserve">Tape purchase (PB)</t>
  </si>
  <si>
    <t xml:space="preserve">TOTAL storage purchase (TB)</t>
  </si>
  <si>
    <t xml:space="preserve">TOTAL storage purchase (PB)</t>
  </si>
  <si>
    <t xml:space="preserve">LOY1 (FY2026) — CURRENT YEAR DETAIL</t>
  </si>
  <si>
    <t xml:space="preserve">Months elapsed in FY</t>
  </si>
  <si>
    <t xml:space="preserve">Months remaining</t>
  </si>
  <si>
    <t xml:space="preserve">Currently running</t>
  </si>
  <si>
    <t xml:space="preserve">DP2 (10% of DR1)</t>
  </si>
  <si>
    <t xml:space="preserve">DP2 compute (core-hours)</t>
  </si>
  <si>
    <t xml:space="preserve">DP2 cores needed</t>
  </si>
  <si>
    <t xml:space="preserve">Existing batch cores</t>
  </si>
  <si>
    <t xml:space="preserve">Compute status for LOY1</t>
  </si>
  <si>
    <t xml:space="preserve">Storage installed (online, PB)</t>
  </si>
  <si>
    <t xml:space="preserve">LOY1 online storage needed (TB)</t>
  </si>
  <si>
    <t xml:space="preserve">LOY1 online purchase needed (TB)</t>
  </si>
  <si>
    <t xml:space="preserve">LOY1 online purchase needed (PB)</t>
  </si>
  <si>
    <t xml:space="preserve">LOY1 tape purchase needed (TB)</t>
  </si>
  <si>
    <t xml:space="preserve">Purchase summary for FY2026 cycle:</t>
  </si>
  <si>
    <t xml:space="preserve">  Batch compute nodes</t>
  </si>
  <si>
    <t xml:space="preserve">  K8s nodes</t>
  </si>
  <si>
    <t xml:space="preserve">  Qserv nodes</t>
  </si>
  <si>
    <t xml:space="preserve">  Online storage (PB)</t>
  </si>
  <si>
    <t xml:space="preserve">  Tape storage (PB)</t>
  </si>
  <si>
    <t xml:space="preserve">International DRP Compute Sharing</t>
  </si>
  <si>
    <t xml:space="preserve">DRP COMPUTE SPLIT</t>
  </si>
  <si>
    <t xml:space="preserve">Total DRP core-hours</t>
  </si>
  <si>
    <t xml:space="preserve">core-hrs</t>
  </si>
  <si>
    <t xml:space="preserve">Total DRP cores</t>
  </si>
  <si>
    <t xml:space="preserve">DRP Cores by Facility</t>
  </si>
  <si>
    <t xml:space="preserve">USDF (20%)</t>
  </si>
  <si>
    <t xml:space="preserve">France / CC-IN2P3 (40%)</t>
  </si>
  <si>
    <t xml:space="preserve">UK / UKDF (40%)</t>
  </si>
  <si>
    <t xml:space="preserve">DRP Core-Hours by Facility</t>
  </si>
  <si>
    <t xml:space="preserve">FRANCE (CC-IN2P3) DETAIL</t>
  </si>
  <si>
    <t xml:space="preserve">DRP cores</t>
  </si>
  <si>
    <t xml:space="preserve">Batch nodes (est.)</t>
  </si>
  <si>
    <t xml:space="preserve">DRP scratch storage (est.)</t>
  </si>
  <si>
    <t xml:space="preserve">UK (UKDF) DETAIL</t>
  </si>
  <si>
    <t xml:space="preserve">Note: France and UK handle DRP compute only. Long-term data products and storage reside at USDF.</t>
  </si>
  <si>
    <t xml:space="preserve">Yearly Readiness — LOY1 to LOY10</t>
  </si>
  <si>
    <t xml:space="preserve">LOY</t>
  </si>
  <si>
    <t xml:space="preserve">Year</t>
  </si>
  <si>
    <t xml:space="preserve">Total Cores
Needed</t>
  </si>
  <si>
    <t xml:space="preserve">Cores Available
(before purchase)</t>
  </si>
  <si>
    <t xml:space="preserve">Compute
Gap</t>
  </si>
  <si>
    <t xml:space="preserve">Online Storage
Needed (PB)</t>
  </si>
  <si>
    <t xml:space="preserve">Storage Available
(before purchase, PB)</t>
  </si>
  <si>
    <t xml:space="preserve">Storage
Gap (PB)</t>
  </si>
  <si>
    <t xml:space="preserve">Status</t>
  </si>
  <si>
    <t xml:space="preserve">Notes:</t>
  </si>
  <si>
    <t xml:space="preserve">'Available' = what is on hand BEFORE this year's purchase cycle. 'Gap' = additional capacity to procure. 100% USDF compute assumed.</t>
  </si>
  <si>
    <t xml:space="preserve">See 'International Compute' tab for France (40%) + UK (40%) DRP offload scenario.</t>
  </si>
  <si>
    <t xml:space="preserve">Hardware Refresh / EOL (annual units to replace)</t>
  </si>
  <si>
    <t xml:space="preserve">Each cohort: replace `Qty` in FY when FY &gt; delivery_year and MOD(FY − delivery_year, lifetime_years) = 0. Lifetimes: compute-class 3 yr, JBOD/NVMe 5 yr (from YAML). Source: Rubin Hardware Summary for March 2025 JTM + sizing_params.yaml.</t>
  </si>
  <si>
    <t xml:space="preserve">Fiscal Year (FY)</t>
  </si>
  <si>
    <t xml:space="preserve">Label</t>
  </si>
  <si>
    <t xml:space="preserve">Qty</t>
  </si>
  <si>
    <t xml:space="preserve">Delivery FY</t>
  </si>
  <si>
    <t xml:space="preserve">Lifetime (yr)</t>
  </si>
  <si>
    <t xml:space="preserve">First EOL FY</t>
  </si>
  <si>
    <t xml:space="preserve">k8s PO215594</t>
  </si>
  <si>
    <t xml:space="preserve">k8s</t>
  </si>
  <si>
    <t xml:space="preserve">JBOD PO216503 del 2022-04-13</t>
  </si>
  <si>
    <t xml:space="preserve">jbod</t>
  </si>
  <si>
    <t xml:space="preserve">JBOD PO220246</t>
  </si>
  <si>
    <t xml:space="preserve">JBOD PO222151 / dup PO216503</t>
  </si>
  <si>
    <t xml:space="preserve">NVMe PO220192</t>
  </si>
  <si>
    <t xml:space="preserve">nvme_server</t>
  </si>
  <si>
    <t xml:space="preserve">Milan PO222151</t>
  </si>
  <si>
    <t xml:space="preserve">milan_batch</t>
  </si>
  <si>
    <t xml:space="preserve">Qserv PO222151</t>
  </si>
  <si>
    <t xml:space="preserve">qserv</t>
  </si>
  <si>
    <t xml:space="preserve">k8s PO222151</t>
  </si>
  <si>
    <t xml:space="preserve">Milan PO227883</t>
  </si>
  <si>
    <t xml:space="preserve">Qserv PO227883</t>
  </si>
  <si>
    <t xml:space="preserve">Cassandra PO227883</t>
  </si>
  <si>
    <t xml:space="preserve">cassandra</t>
  </si>
  <si>
    <t xml:space="preserve">JBOD PO227883</t>
  </si>
  <si>
    <t xml:space="preserve">Milan PO237013</t>
  </si>
  <si>
    <t xml:space="preserve">Qserv PO237013</t>
  </si>
  <si>
    <t xml:space="preserve">k8s PO237013</t>
  </si>
  <si>
    <t xml:space="preserve">JBOD PO237013</t>
  </si>
  <si>
    <t xml:space="preserve">TOTAL units to replace (all cohorts)</t>
  </si>
  <si>
    <t xml:space="preserve">Note: Milan batch / Qserv / k8s / Cassandra use compute lifetime; JBOD / NVMe use storage lifetime. Edit cohorts in sizing_params.yaml.</t>
  </si>
  <si>
    <t xml:space="preserve">Fast (PB)</t>
  </si>
  <si>
    <t xml:space="preserve">Normal (PB)</t>
  </si>
  <si>
    <t xml:space="preserve">Qserv (PB)</t>
  </si>
  <si>
    <t xml:space="preserve">Object Store (PB)</t>
  </si>
  <si>
    <t xml:space="preserve">Tape (PB)</t>
  </si>
  <si>
    <t xml:space="preserve">Flash (PB)</t>
  </si>
  <si>
    <t xml:space="preserve">Raw Images (PB)</t>
  </si>
  <si>
    <t xml:space="preserve">Processed Images (PB)</t>
  </si>
  <si>
    <t xml:space="preserve">Co-added Images (PB)</t>
  </si>
  <si>
    <t xml:space="preserve">Parquet Tables (PB)</t>
  </si>
  <si>
    <t xml:space="preserve">Catalog Database (PB)</t>
  </si>
  <si>
    <t xml:space="preserve">DRP Core-Hours</t>
  </si>
  <si>
    <t xml:space="preserve">Annual Cost ($M)</t>
  </si>
  <si>
    <t xml:space="preserve">Cumulative Cost ($M)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</si>
</sst>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"/>
    <numFmt numFmtId="167" formatCode="\$#,##0"/>
    <numFmt numFmtId="168" formatCode="\$#,##0.000"/>
    <numFmt numFmtId="169" formatCode="#,##0.1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4E79"/>
      <name val="Cambria"/>
      <family val="0"/>
      <charset val="1"/>
    </font>
    <font>
      <b val="true"/>
      <sz val="13"/>
      <name val="Cambria"/>
      <family val="0"/>
      <charset val="1"/>
    </font>
    <font>
      <i val="true"/>
      <sz val="11"/>
      <color rgb="FF999999"/>
      <name val="Cambria"/>
      <family val="0"/>
      <charset val="1"/>
    </font>
    <font>
      <b val="true"/>
      <sz val="13"/>
      <color rgb="FFC00000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i val="true"/>
      <sz val="11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i val="true"/>
      <sz val="11"/>
      <color rgb="FF444444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4F81BD"/>
      <rgbColor rgb="FF9BBB59"/>
      <rgbColor rgb="FF878787"/>
      <rgbColor rgb="FF5B9BD5"/>
      <rgbColor rgb="FFBE4B48"/>
      <rgbColor rgb="FFF9F9F9"/>
      <rgbColor rgb="FFCCFFFF"/>
      <rgbColor rgb="FF660066"/>
      <rgbColor rgb="FFFF8080"/>
      <rgbColor rgb="FF4A7EBB"/>
      <rgbColor rgb="FFD9D9D9"/>
      <rgbColor rgb="FF000080"/>
      <rgbColor rgb="FFFF00FF"/>
      <rgbColor rgb="FFFFFF00"/>
      <rgbColor rgb="FF00FFFF"/>
      <rgbColor rgb="FF800080"/>
      <rgbColor rgb="FF800000"/>
      <rgbColor rgb="FF46AAC4"/>
      <rgbColor rgb="FF0000FF"/>
      <rgbColor rgb="FF00B0F0"/>
      <rgbColor rgb="FFCCFFFF"/>
      <rgbColor rgb="FFCCFFCC"/>
      <rgbColor rgb="FFFFFF99"/>
      <rgbColor rgb="FF70AD47"/>
      <rgbColor rgb="FFFF99CC"/>
      <rgbColor rgb="FF8064A2"/>
      <rgbColor rgb="FFFFCC99"/>
      <rgbColor rgb="FF4472C4"/>
      <rgbColor rgb="FF4BACC6"/>
      <rgbColor rgb="FF98B855"/>
      <rgbColor rgb="FFFFC000"/>
      <rgbColor rgb="FFFF9900"/>
      <rgbColor rgb="FFED7D31"/>
      <rgbColor rgb="FF7D5FA0"/>
      <rgbColor rgb="FF999999"/>
      <rgbColor rgb="FF002060"/>
      <rgbColor rgb="FF00B050"/>
      <rgbColor rgb="FF003300"/>
      <rgbColor rgb="FF666666"/>
      <rgbColor rgb="FFC0504D"/>
      <rgbColor rgb="FF7030A0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USDF Storage Forecast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Charts!B1</c:f>
              <c:strCache>
                <c:ptCount val="1"/>
                <c:pt idx="0">
                  <c:v>Fast (PB)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Charts!$B$2:$B$11</c:f>
              <c:numCache>
                <c:formatCode>#,##0.0</c:formatCode>
                <c:ptCount val="10"/>
                <c:pt idx="0">
                  <c:v>0.352998947368421</c:v>
                </c:pt>
                <c:pt idx="1">
                  <c:v>0.543416447368421</c:v>
                </c:pt>
                <c:pt idx="2">
                  <c:v>0.758901647368421</c:v>
                </c:pt>
                <c:pt idx="3">
                  <c:v>0.840047447368421</c:v>
                </c:pt>
                <c:pt idx="4">
                  <c:v>0.907872347368421</c:v>
                </c:pt>
                <c:pt idx="5">
                  <c:v>0.971033747368421</c:v>
                </c:pt>
                <c:pt idx="6">
                  <c:v>1.03148314736842</c:v>
                </c:pt>
                <c:pt idx="7">
                  <c:v>1.09083904736842</c:v>
                </c:pt>
                <c:pt idx="8">
                  <c:v>1.14738604736842</c:v>
                </c:pt>
                <c:pt idx="9">
                  <c:v>1.20216904736842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Charts!C1</c:f>
              <c:strCache>
                <c:ptCount val="1"/>
                <c:pt idx="0">
                  <c:v>Normal (PB)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Charts!$C$2:$C$11</c:f>
              <c:numCache>
                <c:formatCode>#,##0.0</c:formatCode>
                <c:ptCount val="10"/>
                <c:pt idx="0">
                  <c:v>15.9854688458073</c:v>
                </c:pt>
                <c:pt idx="1">
                  <c:v>20.2480746458073</c:v>
                </c:pt>
                <c:pt idx="2">
                  <c:v>24.4423698458073</c:v>
                </c:pt>
                <c:pt idx="3">
                  <c:v>28.5610981658073</c:v>
                </c:pt>
                <c:pt idx="4">
                  <c:v>32.4888299258073</c:v>
                </c:pt>
                <c:pt idx="5">
                  <c:v>36.5267641658073</c:v>
                </c:pt>
                <c:pt idx="6">
                  <c:v>40.7188439258073</c:v>
                </c:pt>
                <c:pt idx="7">
                  <c:v>45.0538336058073</c:v>
                </c:pt>
                <c:pt idx="8">
                  <c:v>49.4823318458073</c:v>
                </c:pt>
                <c:pt idx="9">
                  <c:v>54.0572226458073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Charts!D1</c:f>
              <c:strCache>
                <c:ptCount val="1"/>
                <c:pt idx="0">
                  <c:v>Qserv (PB)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Charts!$D$2:$D$11</c:f>
              <c:numCache>
                <c:formatCode>#,##0.0</c:formatCode>
                <c:ptCount val="10"/>
                <c:pt idx="0">
                  <c:v>3.5095635</c:v>
                </c:pt>
                <c:pt idx="1">
                  <c:v>9.257301</c:v>
                </c:pt>
                <c:pt idx="2">
                  <c:v>17.2752168</c:v>
                </c:pt>
                <c:pt idx="3">
                  <c:v>24.1437621</c:v>
                </c:pt>
                <c:pt idx="4">
                  <c:v>31.2765666</c:v>
                </c:pt>
                <c:pt idx="5">
                  <c:v>38.7337338</c:v>
                </c:pt>
                <c:pt idx="6">
                  <c:v>46.5547392</c:v>
                </c:pt>
                <c:pt idx="7">
                  <c:v>54.7162197</c:v>
                </c:pt>
                <c:pt idx="8">
                  <c:v>63.2059791</c:v>
                </c:pt>
                <c:pt idx="9">
                  <c:v>72.0165117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Charts!E1</c:f>
              <c:strCache>
                <c:ptCount val="1"/>
                <c:pt idx="0">
                  <c:v>Object Store (PB)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Charts!$E$2:$E$11</c:f>
              <c:numCache>
                <c:formatCode>#,##0.0</c:formatCode>
                <c:ptCount val="10"/>
                <c:pt idx="0">
                  <c:v>7.875506281668</c:v>
                </c:pt>
                <c:pt idx="1">
                  <c:v>15.751012563336</c:v>
                </c:pt>
                <c:pt idx="2">
                  <c:v>20.865816845004</c:v>
                </c:pt>
                <c:pt idx="3">
                  <c:v>21.982821126672</c:v>
                </c:pt>
                <c:pt idx="4">
                  <c:v>23.09982540834</c:v>
                </c:pt>
                <c:pt idx="5">
                  <c:v>24.216829690008</c:v>
                </c:pt>
                <c:pt idx="6">
                  <c:v>25.333833971676</c:v>
                </c:pt>
                <c:pt idx="7">
                  <c:v>26.450838253344</c:v>
                </c:pt>
                <c:pt idx="8">
                  <c:v>27.567842535012</c:v>
                </c:pt>
                <c:pt idx="9">
                  <c:v>28.68484681668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Charts!F1</c:f>
              <c:strCache>
                <c:ptCount val="1"/>
                <c:pt idx="0">
                  <c:v>Tape (PB)</c:v>
                </c:pt>
              </c:strCache>
            </c:strRef>
          </c:tx>
          <c:spPr>
            <a:solidFill>
              <a:srgbClr val="46AAC4"/>
            </a:solidFill>
            <a:ln w="1260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Charts!$F$2:$F$11</c:f>
              <c:numCache>
                <c:formatCode>#,##0.0</c:formatCode>
                <c:ptCount val="10"/>
                <c:pt idx="0">
                  <c:v>14.7355796274753</c:v>
                </c:pt>
                <c:pt idx="1">
                  <c:v>31.4615935549506</c:v>
                </c:pt>
                <c:pt idx="2">
                  <c:v>50.0866566824259</c:v>
                </c:pt>
                <c:pt idx="3">
                  <c:v>70.4481745299011</c:v>
                </c:pt>
                <c:pt idx="4">
                  <c:v>92.2143143373764</c:v>
                </c:pt>
                <c:pt idx="5">
                  <c:v>115.403443184852</c:v>
                </c:pt>
                <c:pt idx="6">
                  <c:v>140.041251992327</c:v>
                </c:pt>
                <c:pt idx="7">
                  <c:v>166.151559079802</c:v>
                </c:pt>
                <c:pt idx="8">
                  <c:v>193.749949207278</c:v>
                </c:pt>
                <c:pt idx="9">
                  <c:v>222.860821134753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512861"/>
        <c:axId val="94320026"/>
      </c:lineChart>
      <c:catAx>
        <c:axId val="935128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320026"/>
        <c:crosses val="autoZero"/>
        <c:auto val="1"/>
        <c:lblAlgn val="ctr"/>
        <c:lblOffset val="100"/>
        <c:noMultiLvlLbl val="0"/>
      </c:catAx>
      <c:valAx>
        <c:axId val="943200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Petabytes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5128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Storage Detail: Flash / Qserv / Object Store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Charts!B13</c:f>
              <c:strCache>
                <c:ptCount val="1"/>
                <c:pt idx="0">
                  <c:v>Flash (PB)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Charts!$A$14:$A$23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Charts!$B$14:$B$23</c:f>
              <c:numCache>
                <c:formatCode>#,##0.0</c:formatCode>
                <c:ptCount val="10"/>
                <c:pt idx="0">
                  <c:v>0.352998947368421</c:v>
                </c:pt>
                <c:pt idx="1">
                  <c:v>0.543416447368421</c:v>
                </c:pt>
                <c:pt idx="2">
                  <c:v>0.758901647368421</c:v>
                </c:pt>
                <c:pt idx="3">
                  <c:v>0.840047447368421</c:v>
                </c:pt>
                <c:pt idx="4">
                  <c:v>0.907872347368421</c:v>
                </c:pt>
                <c:pt idx="5">
                  <c:v>0.971033747368421</c:v>
                </c:pt>
                <c:pt idx="6">
                  <c:v>1.03148314736842</c:v>
                </c:pt>
                <c:pt idx="7">
                  <c:v>1.09083904736842</c:v>
                </c:pt>
                <c:pt idx="8">
                  <c:v>1.14738604736842</c:v>
                </c:pt>
                <c:pt idx="9">
                  <c:v>1.20216904736842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Charts!C13</c:f>
              <c:strCache>
                <c:ptCount val="1"/>
                <c:pt idx="0">
                  <c:v>Qserv (PB)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Charts!$A$14:$A$23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Charts!$C$14:$C$23</c:f>
              <c:numCache>
                <c:formatCode>#,##0.0</c:formatCode>
                <c:ptCount val="10"/>
                <c:pt idx="0">
                  <c:v>3.5095635</c:v>
                </c:pt>
                <c:pt idx="1">
                  <c:v>9.257301</c:v>
                </c:pt>
                <c:pt idx="2">
                  <c:v>17.2752168</c:v>
                </c:pt>
                <c:pt idx="3">
                  <c:v>24.1437621</c:v>
                </c:pt>
                <c:pt idx="4">
                  <c:v>31.2765666</c:v>
                </c:pt>
                <c:pt idx="5">
                  <c:v>38.7337338</c:v>
                </c:pt>
                <c:pt idx="6">
                  <c:v>46.5547392</c:v>
                </c:pt>
                <c:pt idx="7">
                  <c:v>54.7162197</c:v>
                </c:pt>
                <c:pt idx="8">
                  <c:v>63.2059791</c:v>
                </c:pt>
                <c:pt idx="9">
                  <c:v>72.0165117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Charts!D13</c:f>
              <c:strCache>
                <c:ptCount val="1"/>
                <c:pt idx="0">
                  <c:v>Object Store (PB)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Charts!$A$14:$A$23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Charts!$D$14:$D$23</c:f>
              <c:numCache>
                <c:formatCode>#,##0.0</c:formatCode>
                <c:ptCount val="10"/>
                <c:pt idx="0">
                  <c:v>7.875506281668</c:v>
                </c:pt>
                <c:pt idx="1">
                  <c:v>15.751012563336</c:v>
                </c:pt>
                <c:pt idx="2">
                  <c:v>20.865816845004</c:v>
                </c:pt>
                <c:pt idx="3">
                  <c:v>21.982821126672</c:v>
                </c:pt>
                <c:pt idx="4">
                  <c:v>23.09982540834</c:v>
                </c:pt>
                <c:pt idx="5">
                  <c:v>24.216829690008</c:v>
                </c:pt>
                <c:pt idx="6">
                  <c:v>25.333833971676</c:v>
                </c:pt>
                <c:pt idx="7">
                  <c:v>26.450838253344</c:v>
                </c:pt>
                <c:pt idx="8">
                  <c:v>27.567842535012</c:v>
                </c:pt>
                <c:pt idx="9">
                  <c:v>28.68484681668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166649"/>
        <c:axId val="22242621"/>
      </c:lineChart>
      <c:catAx>
        <c:axId val="571666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242621"/>
        <c:crosses val="autoZero"/>
        <c:auto val="1"/>
        <c:lblAlgn val="ctr"/>
        <c:lblOffset val="100"/>
        <c:noMultiLvlLbl val="0"/>
      </c:catAx>
      <c:valAx>
        <c:axId val="222426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Petabytes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1666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Data Product Size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Charts!B25</c:f>
              <c:strCache>
                <c:ptCount val="1"/>
                <c:pt idx="0">
                  <c:v>Raw Images (PB)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Charts!$B$26:$B$35</c:f>
              <c:numCache>
                <c:formatCode>#,##0.0</c:formatCode>
                <c:ptCount val="10"/>
                <c:pt idx="0">
                  <c:v>1.117004281668</c:v>
                </c:pt>
                <c:pt idx="1">
                  <c:v>2.234008563336</c:v>
                </c:pt>
                <c:pt idx="2">
                  <c:v>3.351012845004</c:v>
                </c:pt>
                <c:pt idx="3">
                  <c:v>4.468017126672</c:v>
                </c:pt>
                <c:pt idx="4">
                  <c:v>5.58502140834</c:v>
                </c:pt>
                <c:pt idx="5">
                  <c:v>6.702025690008</c:v>
                </c:pt>
                <c:pt idx="6">
                  <c:v>7.819029971676</c:v>
                </c:pt>
                <c:pt idx="7">
                  <c:v>8.936034253344</c:v>
                </c:pt>
                <c:pt idx="8">
                  <c:v>10.053038535012</c:v>
                </c:pt>
                <c:pt idx="9">
                  <c:v>11.17004281668</c:v>
                </c:pt>
              </c:numCache>
            </c:numRef>
          </c:val>
        </c:ser>
        <c:ser>
          <c:idx val="1"/>
          <c:order val="1"/>
          <c:tx>
            <c:strRef>
              <c:f>Charts!C25</c:f>
              <c:strCache>
                <c:ptCount val="1"/>
                <c:pt idx="0">
                  <c:v>Processed Images (PB)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Charts!$C$26:$C$35</c:f>
              <c:numCache>
                <c:formatCode>#,##0.0</c:formatCode>
                <c:ptCount val="10"/>
                <c:pt idx="0">
                  <c:v>1.080702</c:v>
                </c:pt>
                <c:pt idx="1">
                  <c:v>2.161404</c:v>
                </c:pt>
                <c:pt idx="2">
                  <c:v>2.161404</c:v>
                </c:pt>
                <c:pt idx="3">
                  <c:v>2.161404</c:v>
                </c:pt>
                <c:pt idx="4">
                  <c:v>2.161404</c:v>
                </c:pt>
                <c:pt idx="5">
                  <c:v>2.161404</c:v>
                </c:pt>
                <c:pt idx="6">
                  <c:v>2.161404</c:v>
                </c:pt>
                <c:pt idx="7">
                  <c:v>2.161404</c:v>
                </c:pt>
                <c:pt idx="8">
                  <c:v>2.161404</c:v>
                </c:pt>
                <c:pt idx="9">
                  <c:v>2.161404</c:v>
                </c:pt>
              </c:numCache>
            </c:numRef>
          </c:val>
        </c:ser>
        <c:ser>
          <c:idx val="2"/>
          <c:order val="2"/>
          <c:tx>
            <c:strRef>
              <c:f>Charts!D25</c:f>
              <c:strCache>
                <c:ptCount val="1"/>
                <c:pt idx="0">
                  <c:v>Co-added Images (PB)</c:v>
                </c:pt>
              </c:strCache>
            </c:strRef>
          </c:tx>
          <c:spPr>
            <a:solidFill>
              <a:srgbClr val="9BBB59"/>
            </a:solidFill>
            <a:ln w="12600">
              <a:solidFill>
                <a:srgbClr val="F9F9F9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Charts!$D$26:$D$35</c:f>
              <c:numCache>
                <c:formatCode>#,##0.0</c:formatCode>
                <c:ptCount val="10"/>
                <c:pt idx="0">
                  <c:v>2.7</c:v>
                </c:pt>
                <c:pt idx="1">
                  <c:v>5.4</c:v>
                </c:pt>
                <c:pt idx="2">
                  <c:v>8.1</c:v>
                </c:pt>
                <c:pt idx="3">
                  <c:v>8.1</c:v>
                </c:pt>
                <c:pt idx="4">
                  <c:v>8.1</c:v>
                </c:pt>
                <c:pt idx="5">
                  <c:v>8.1</c:v>
                </c:pt>
                <c:pt idx="6">
                  <c:v>8.1</c:v>
                </c:pt>
                <c:pt idx="7">
                  <c:v>8.1</c:v>
                </c:pt>
                <c:pt idx="8">
                  <c:v>8.1</c:v>
                </c:pt>
                <c:pt idx="9">
                  <c:v>8.1</c:v>
                </c:pt>
              </c:numCache>
            </c:numRef>
          </c:val>
        </c:ser>
        <c:ser>
          <c:idx val="3"/>
          <c:order val="3"/>
          <c:tx>
            <c:strRef>
              <c:f>Charts!E25</c:f>
              <c:strCache>
                <c:ptCount val="1"/>
                <c:pt idx="0">
                  <c:v>Parquet Tables (PB)</c:v>
                </c:pt>
              </c:strCache>
            </c:strRef>
          </c:tx>
          <c:spPr>
            <a:solidFill>
              <a:srgbClr val="8064A2"/>
            </a:solidFill>
            <a:ln w="12600">
              <a:solidFill>
                <a:srgbClr val="F9F9F9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Charts!$E$26:$E$35</c:f>
              <c:numCache>
                <c:formatCode>#,##0.0</c:formatCode>
                <c:ptCount val="10"/>
                <c:pt idx="0">
                  <c:v>1.2978</c:v>
                </c:pt>
                <c:pt idx="1">
                  <c:v>2.5956</c:v>
                </c:pt>
                <c:pt idx="2">
                  <c:v>3.8934</c:v>
                </c:pt>
                <c:pt idx="3">
                  <c:v>3.8934</c:v>
                </c:pt>
                <c:pt idx="4">
                  <c:v>3.8934</c:v>
                </c:pt>
                <c:pt idx="5">
                  <c:v>3.8934</c:v>
                </c:pt>
                <c:pt idx="6">
                  <c:v>3.8934</c:v>
                </c:pt>
                <c:pt idx="7">
                  <c:v>3.8934</c:v>
                </c:pt>
                <c:pt idx="8">
                  <c:v>3.8934</c:v>
                </c:pt>
                <c:pt idx="9">
                  <c:v>3.8934</c:v>
                </c:pt>
              </c:numCache>
            </c:numRef>
          </c:val>
        </c:ser>
        <c:ser>
          <c:idx val="4"/>
          <c:order val="4"/>
          <c:tx>
            <c:strRef>
              <c:f>Charts!F25</c:f>
              <c:strCache>
                <c:ptCount val="1"/>
                <c:pt idx="0">
                  <c:v>Catalog Database (PB)</c:v>
                </c:pt>
              </c:strCache>
            </c:strRef>
          </c:tx>
          <c:spPr>
            <a:solidFill>
              <a:srgbClr val="4BACC6"/>
            </a:solidFill>
            <a:ln w="12600">
              <a:solidFill>
                <a:srgbClr val="F9F9F9"/>
              </a:solidFill>
              <a:round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Charts!$F$26:$F$35</c:f>
              <c:numCache>
                <c:formatCode>#,##0.0</c:formatCode>
                <c:ptCount val="10"/>
                <c:pt idx="0">
                  <c:v>3.6659835</c:v>
                </c:pt>
                <c:pt idx="1">
                  <c:v>5.938155</c:v>
                </c:pt>
                <c:pt idx="2">
                  <c:v>8.233401</c:v>
                </c:pt>
                <c:pt idx="3">
                  <c:v>10.6156746</c:v>
                </c:pt>
                <c:pt idx="4">
                  <c:v>13.1387844</c:v>
                </c:pt>
                <c:pt idx="5">
                  <c:v>15.7537296</c:v>
                </c:pt>
                <c:pt idx="6">
                  <c:v>18.4971294</c:v>
                </c:pt>
                <c:pt idx="7">
                  <c:v>21.3596208</c:v>
                </c:pt>
                <c:pt idx="8">
                  <c:v>24.300036</c:v>
                </c:pt>
                <c:pt idx="9">
                  <c:v>27.362445</c:v>
                </c:pt>
              </c:numCache>
            </c:numRef>
          </c:val>
        </c:ser>
        <c:axId val="30881940"/>
        <c:axId val="3006157"/>
      </c:areaChart>
      <c:catAx>
        <c:axId val="308819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06157"/>
        <c:crosses val="autoZero"/>
        <c:auto val="1"/>
        <c:lblAlgn val="ctr"/>
        <c:lblOffset val="100"/>
        <c:noMultiLvlLbl val="0"/>
      </c:catAx>
      <c:valAx>
        <c:axId val="30061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Petabytes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88194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DRP Core-Hours Projection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Charts!B37</c:f>
              <c:strCache>
                <c:ptCount val="1"/>
                <c:pt idx="0">
                  <c:v>DRP Core-Hours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Charts!$A$38:$A$47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Charts!$B$38:$B$47</c:f>
              <c:numCache>
                <c:formatCode>#,##0</c:formatCode>
                <c:ptCount val="10"/>
                <c:pt idx="0">
                  <c:v>16579199</c:v>
                </c:pt>
                <c:pt idx="1">
                  <c:v>33158398</c:v>
                </c:pt>
                <c:pt idx="2">
                  <c:v>49737597</c:v>
                </c:pt>
                <c:pt idx="3">
                  <c:v>66316796</c:v>
                </c:pt>
                <c:pt idx="4">
                  <c:v>82895995</c:v>
                </c:pt>
                <c:pt idx="5">
                  <c:v>99475194</c:v>
                </c:pt>
                <c:pt idx="6">
                  <c:v>116054393</c:v>
                </c:pt>
                <c:pt idx="7">
                  <c:v>132633592</c:v>
                </c:pt>
                <c:pt idx="8">
                  <c:v>149212791</c:v>
                </c:pt>
                <c:pt idx="9">
                  <c:v>165791990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951608"/>
        <c:axId val="79365249"/>
      </c:lineChart>
      <c:catAx>
        <c:axId val="519516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365249"/>
        <c:crosses val="autoZero"/>
        <c:auto val="1"/>
        <c:lblAlgn val="ctr"/>
        <c:lblOffset val="100"/>
        <c:noMultiLvlLbl val="0"/>
      </c:catAx>
      <c:valAx>
        <c:axId val="793652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Core-Hours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9516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USDF Cost Forecast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Charts!B49</c:f>
              <c:strCache>
                <c:ptCount val="1"/>
                <c:pt idx="0">
                  <c:v>Annual Cost ($M)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Charts!$A$50:$A$59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Charts!$B$50:$B$59</c:f>
              <c:numCache>
                <c:formatCode>\$#,##0.000</c:formatCode>
                <c:ptCount val="10"/>
                <c:pt idx="0">
                  <c:v>5.86561313460751</c:v>
                </c:pt>
                <c:pt idx="1">
                  <c:v>5.58998353453818</c:v>
                </c:pt>
                <c:pt idx="2">
                  <c:v>2.15846752381418</c:v>
                </c:pt>
                <c:pt idx="3">
                  <c:v>6.85271308883498</c:v>
                </c:pt>
                <c:pt idx="4">
                  <c:v>8.11331826705458</c:v>
                </c:pt>
                <c:pt idx="5">
                  <c:v>4.92833794239778</c:v>
                </c:pt>
                <c:pt idx="6">
                  <c:v>1.10827494422458</c:v>
                </c:pt>
                <c:pt idx="7">
                  <c:v>6.38562450520738</c:v>
                </c:pt>
                <c:pt idx="8">
                  <c:v>6.62061658827778</c:v>
                </c:pt>
                <c:pt idx="9">
                  <c:v>0.680913647758178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Charts!C49</c:f>
              <c:strCache>
                <c:ptCount val="1"/>
                <c:pt idx="0">
                  <c:v>Cumulative Cost ($M)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Charts!$A$50:$A$59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Charts!$C$50:$C$59</c:f>
              <c:numCache>
                <c:formatCode>\$#,##0.000</c:formatCode>
                <c:ptCount val="10"/>
                <c:pt idx="0">
                  <c:v>5.86561313460751</c:v>
                </c:pt>
                <c:pt idx="1">
                  <c:v>11.4555966691457</c:v>
                </c:pt>
                <c:pt idx="2">
                  <c:v>13.6140641929599</c:v>
                </c:pt>
                <c:pt idx="3">
                  <c:v>20.4667772817948</c:v>
                </c:pt>
                <c:pt idx="4">
                  <c:v>28.5800955488494</c:v>
                </c:pt>
                <c:pt idx="5">
                  <c:v>33.5084334912472</c:v>
                </c:pt>
                <c:pt idx="6">
                  <c:v>34.6167084354718</c:v>
                </c:pt>
                <c:pt idx="7">
                  <c:v>41.0023329406792</c:v>
                </c:pt>
                <c:pt idx="8">
                  <c:v>47.6229495289569</c:v>
                </c:pt>
                <c:pt idx="9">
                  <c:v>48.3038631767151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404167"/>
        <c:axId val="22261520"/>
      </c:lineChart>
      <c:catAx>
        <c:axId val="294041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261520"/>
        <c:crosses val="autoZero"/>
        <c:auto val="1"/>
        <c:lblAlgn val="ctr"/>
        <c:lblOffset val="100"/>
        <c:noMultiLvlLbl val="0"/>
      </c:catAx>
      <c:valAx>
        <c:axId val="222615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4041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0</xdr:row>
      <xdr:rowOff>0</xdr:rowOff>
    </xdr:from>
    <xdr:to>
      <xdr:col>17</xdr:col>
      <xdr:colOff>211680</xdr:colOff>
      <xdr:row>27</xdr:row>
      <xdr:rowOff>3240</xdr:rowOff>
    </xdr:to>
    <xdr:graphicFrame>
      <xdr:nvGraphicFramePr>
        <xdr:cNvPr id="1" name="Chart 1"/>
        <xdr:cNvGraphicFramePr/>
      </xdr:nvGraphicFramePr>
      <xdr:xfrm>
        <a:off x="7189560" y="0"/>
        <a:ext cx="1007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16</xdr:row>
      <xdr:rowOff>0</xdr:rowOff>
    </xdr:from>
    <xdr:to>
      <xdr:col>17</xdr:col>
      <xdr:colOff>211680</xdr:colOff>
      <xdr:row>43</xdr:row>
      <xdr:rowOff>154080</xdr:rowOff>
    </xdr:to>
    <xdr:graphicFrame>
      <xdr:nvGraphicFramePr>
        <xdr:cNvPr id="2" name="Chart 2"/>
        <xdr:cNvGraphicFramePr/>
      </xdr:nvGraphicFramePr>
      <xdr:xfrm>
        <a:off x="7189560" y="3349080"/>
        <a:ext cx="1007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32</xdr:row>
      <xdr:rowOff>0</xdr:rowOff>
    </xdr:from>
    <xdr:to>
      <xdr:col>17</xdr:col>
      <xdr:colOff>211680</xdr:colOff>
      <xdr:row>60</xdr:row>
      <xdr:rowOff>124560</xdr:rowOff>
    </xdr:to>
    <xdr:graphicFrame>
      <xdr:nvGraphicFramePr>
        <xdr:cNvPr id="3" name="Chart 3"/>
        <xdr:cNvGraphicFramePr/>
      </xdr:nvGraphicFramePr>
      <xdr:xfrm>
        <a:off x="7189560" y="6708600"/>
        <a:ext cx="1007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48</xdr:row>
      <xdr:rowOff>0</xdr:rowOff>
    </xdr:from>
    <xdr:to>
      <xdr:col>17</xdr:col>
      <xdr:colOff>211680</xdr:colOff>
      <xdr:row>77</xdr:row>
      <xdr:rowOff>84600</xdr:rowOff>
    </xdr:to>
    <xdr:graphicFrame>
      <xdr:nvGraphicFramePr>
        <xdr:cNvPr id="4" name="Chart 4"/>
        <xdr:cNvGraphicFramePr/>
      </xdr:nvGraphicFramePr>
      <xdr:xfrm>
        <a:off x="7189560" y="9907200"/>
        <a:ext cx="1007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64</xdr:row>
      <xdr:rowOff>0</xdr:rowOff>
    </xdr:from>
    <xdr:to>
      <xdr:col>17</xdr:col>
      <xdr:colOff>211680</xdr:colOff>
      <xdr:row>94</xdr:row>
      <xdr:rowOff>44640</xdr:rowOff>
    </xdr:to>
    <xdr:graphicFrame>
      <xdr:nvGraphicFramePr>
        <xdr:cNvPr id="5" name="Chart 5"/>
        <xdr:cNvGraphicFramePr/>
      </xdr:nvGraphicFramePr>
      <xdr:xfrm>
        <a:off x="7189560" y="13105800"/>
        <a:ext cx="1007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C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20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</row>
    <row r="4" customFormat="false" ht="15" hidden="false" customHeight="false" outlineLevel="0" collapsed="false">
      <c r="A4" s="3" t="s">
        <v>4</v>
      </c>
    </row>
    <row r="5" customFormat="false" ht="15" hidden="false" customHeight="false" outlineLevel="0" collapsed="false">
      <c r="A5" s="0" t="s">
        <v>5</v>
      </c>
      <c r="B5" s="0" t="n">
        <v>5700</v>
      </c>
      <c r="C5" s="0" t="s">
        <v>6</v>
      </c>
    </row>
    <row r="6" customFormat="false" ht="15" hidden="false" customHeight="false" outlineLevel="0" collapsed="false">
      <c r="A6" s="0" t="s">
        <v>7</v>
      </c>
      <c r="B6" s="0" t="s">
        <v>8</v>
      </c>
      <c r="C6" s="0" t="s">
        <v>9</v>
      </c>
    </row>
    <row r="7" customFormat="false" ht="15" hidden="false" customHeight="false" outlineLevel="0" collapsed="false">
      <c r="A7" s="0" t="s">
        <v>10</v>
      </c>
      <c r="B7" s="0" t="n">
        <v>1.5</v>
      </c>
    </row>
    <row r="8" customFormat="false" ht="15" hidden="false" customHeight="false" outlineLevel="0" collapsed="false">
      <c r="A8" s="0" t="s">
        <v>11</v>
      </c>
      <c r="B8" s="0" t="n">
        <v>120</v>
      </c>
    </row>
    <row r="9" customFormat="false" ht="15" hidden="false" customHeight="false" outlineLevel="0" collapsed="false">
      <c r="A9" s="0" t="s">
        <v>12</v>
      </c>
      <c r="B9" s="0" t="n">
        <v>200</v>
      </c>
    </row>
    <row r="10" customFormat="false" ht="15" hidden="false" customHeight="false" outlineLevel="0" collapsed="false">
      <c r="A10" s="0" t="s">
        <v>13</v>
      </c>
      <c r="B10" s="0" t="n">
        <v>47</v>
      </c>
      <c r="C10" s="0" t="s">
        <v>14</v>
      </c>
    </row>
    <row r="11" customFormat="false" ht="15" hidden="false" customHeight="false" outlineLevel="0" collapsed="false">
      <c r="A11" s="0" t="s">
        <v>15</v>
      </c>
      <c r="B11" s="0" t="n">
        <v>1.6</v>
      </c>
    </row>
    <row r="12" customFormat="false" ht="15" hidden="false" customHeight="false" outlineLevel="0" collapsed="false">
      <c r="A12" s="0" t="s">
        <v>16</v>
      </c>
      <c r="B12" s="0" t="n">
        <v>1.14</v>
      </c>
      <c r="C12" s="0" t="s">
        <v>17</v>
      </c>
    </row>
    <row r="13" customFormat="false" ht="15" hidden="false" customHeight="false" outlineLevel="0" collapsed="false">
      <c r="A13" s="0" t="s">
        <v>18</v>
      </c>
      <c r="B13" s="0" t="n">
        <v>1.35</v>
      </c>
      <c r="C13" s="0" t="s">
        <v>19</v>
      </c>
    </row>
    <row r="14" customFormat="false" ht="15" hidden="false" customHeight="false" outlineLevel="0" collapsed="false">
      <c r="A14" s="0" t="s">
        <v>20</v>
      </c>
      <c r="B14" s="0" t="n">
        <v>55</v>
      </c>
      <c r="C14" s="0" t="s">
        <v>21</v>
      </c>
    </row>
    <row r="15" customFormat="false" ht="15" hidden="false" customHeight="false" outlineLevel="0" collapsed="false">
      <c r="A15" s="0" t="s">
        <v>22</v>
      </c>
      <c r="B15" s="0" t="n">
        <v>0.01</v>
      </c>
      <c r="C15" s="0" t="s">
        <v>23</v>
      </c>
    </row>
    <row r="16" customFormat="false" ht="15" hidden="false" customHeight="false" outlineLevel="0" collapsed="false">
      <c r="A16" s="0" t="s">
        <v>24</v>
      </c>
      <c r="B16" s="0" t="n">
        <v>2</v>
      </c>
    </row>
    <row r="17" customFormat="false" ht="15" hidden="false" customHeight="false" outlineLevel="0" collapsed="false">
      <c r="A17" s="3" t="s">
        <v>25</v>
      </c>
    </row>
    <row r="18" customFormat="false" ht="15" hidden="false" customHeight="false" outlineLevel="0" collapsed="false">
      <c r="A18" s="0" t="s">
        <v>26</v>
      </c>
      <c r="B18" s="0" t="n">
        <v>5.6</v>
      </c>
      <c r="C18" s="0" t="s">
        <v>27</v>
      </c>
    </row>
    <row r="19" customFormat="false" ht="15" hidden="false" customHeight="false" outlineLevel="0" collapsed="false">
      <c r="A19" s="0" t="s">
        <v>28</v>
      </c>
      <c r="B19" s="0" t="n">
        <v>6</v>
      </c>
      <c r="C19" s="0" t="s">
        <v>29</v>
      </c>
    </row>
    <row r="20" customFormat="false" ht="15" hidden="false" customHeight="false" outlineLevel="0" collapsed="false">
      <c r="A20" s="0" t="s">
        <v>30</v>
      </c>
      <c r="B20" s="0" t="n">
        <v>2027</v>
      </c>
    </row>
    <row r="21" customFormat="false" ht="15" hidden="false" customHeight="false" outlineLevel="0" collapsed="false">
      <c r="A21" s="3" t="s">
        <v>31</v>
      </c>
    </row>
    <row r="22" customFormat="false" ht="15" hidden="false" customHeight="false" outlineLevel="0" collapsed="false">
      <c r="A22" s="0" t="s">
        <v>32</v>
      </c>
      <c r="B22" s="0" t="n">
        <v>92</v>
      </c>
    </row>
    <row r="23" customFormat="false" ht="15" hidden="false" customHeight="false" outlineLevel="0" collapsed="false">
      <c r="A23" s="0" t="s">
        <v>11</v>
      </c>
      <c r="B23" s="0" t="n">
        <v>32</v>
      </c>
    </row>
    <row r="24" customFormat="false" ht="15" hidden="false" customHeight="false" outlineLevel="0" collapsed="false">
      <c r="A24" s="0" t="s">
        <v>33</v>
      </c>
      <c r="B24" s="0" t="n">
        <v>32</v>
      </c>
    </row>
    <row r="25" customFormat="false" ht="15" hidden="false" customHeight="false" outlineLevel="0" collapsed="false">
      <c r="A25" s="0" t="s">
        <v>34</v>
      </c>
      <c r="B25" s="0" t="n">
        <v>3</v>
      </c>
    </row>
    <row r="26" customFormat="false" ht="15" hidden="false" customHeight="false" outlineLevel="0" collapsed="false">
      <c r="A26" s="3" t="s">
        <v>35</v>
      </c>
    </row>
    <row r="27" customFormat="false" ht="15" hidden="false" customHeight="false" outlineLevel="0" collapsed="false">
      <c r="A27" s="0" t="s">
        <v>36</v>
      </c>
      <c r="B27" s="0" t="n">
        <v>110</v>
      </c>
      <c r="C27" s="0" t="s">
        <v>37</v>
      </c>
    </row>
    <row r="28" customFormat="false" ht="15" hidden="false" customHeight="false" outlineLevel="0" collapsed="false">
      <c r="A28" s="0" t="s">
        <v>38</v>
      </c>
      <c r="B28" s="0" t="n">
        <v>35</v>
      </c>
      <c r="C28" s="0" t="s">
        <v>39</v>
      </c>
    </row>
    <row r="29" customFormat="false" ht="15" hidden="false" customHeight="false" outlineLevel="0" collapsed="false">
      <c r="A29" s="0" t="s">
        <v>40</v>
      </c>
      <c r="B29" s="0" t="n">
        <v>75</v>
      </c>
      <c r="C29" s="0" t="s">
        <v>41</v>
      </c>
    </row>
    <row r="30" customFormat="false" ht="15" hidden="false" customHeight="false" outlineLevel="0" collapsed="false">
      <c r="A30" s="0" t="s">
        <v>42</v>
      </c>
      <c r="B30" s="0" t="n">
        <v>11</v>
      </c>
      <c r="C30" s="0" t="s">
        <v>43</v>
      </c>
    </row>
    <row r="31" customFormat="false" ht="15" hidden="false" customHeight="false" outlineLevel="0" collapsed="false">
      <c r="A31" s="0" t="s">
        <v>44</v>
      </c>
      <c r="B31" s="0" t="n">
        <v>2</v>
      </c>
      <c r="C31" s="0" t="s">
        <v>45</v>
      </c>
    </row>
    <row r="32" customFormat="false" ht="15" hidden="false" customHeight="false" outlineLevel="0" collapsed="false">
      <c r="A32" s="0" t="s">
        <v>46</v>
      </c>
      <c r="B32" s="0" t="n">
        <v>92</v>
      </c>
      <c r="C32" s="0" t="s">
        <v>47</v>
      </c>
    </row>
    <row r="33" customFormat="false" ht="15" hidden="false" customHeight="false" outlineLevel="0" collapsed="false">
      <c r="A33" s="0" t="s">
        <v>48</v>
      </c>
      <c r="B33" s="0" t="n">
        <v>12</v>
      </c>
      <c r="C33" s="0" t="s">
        <v>49</v>
      </c>
    </row>
    <row r="34" customFormat="false" ht="15" hidden="false" customHeight="false" outlineLevel="0" collapsed="false">
      <c r="A34" s="0" t="s">
        <v>50</v>
      </c>
      <c r="B34" s="0" t="n">
        <v>4</v>
      </c>
      <c r="C34" s="0" t="s">
        <v>51</v>
      </c>
    </row>
    <row r="35" customFormat="false" ht="15" hidden="false" customHeight="false" outlineLevel="0" collapsed="false">
      <c r="A35" s="0" t="s">
        <v>52</v>
      </c>
      <c r="B35" s="0" t="s">
        <v>53</v>
      </c>
      <c r="C35" s="0" t="s">
        <v>54</v>
      </c>
    </row>
    <row r="36" customFormat="false" ht="15" hidden="false" customHeight="false" outlineLevel="0" collapsed="false">
      <c r="A36" s="0" t="s">
        <v>55</v>
      </c>
      <c r="B36" s="0" t="n">
        <v>30</v>
      </c>
      <c r="C36" s="0" t="s">
        <v>56</v>
      </c>
    </row>
    <row r="37" customFormat="false" ht="15" hidden="false" customHeight="false" outlineLevel="0" collapsed="false">
      <c r="A37" s="0" t="s">
        <v>57</v>
      </c>
      <c r="B37" s="0" t="n">
        <v>17400</v>
      </c>
      <c r="C37" s="0" t="s">
        <v>58</v>
      </c>
    </row>
    <row r="38" customFormat="false" ht="15" hidden="false" customHeight="false" outlineLevel="0" collapsed="false">
      <c r="A38" s="3" t="s">
        <v>59</v>
      </c>
    </row>
    <row r="39" customFormat="false" ht="15" hidden="false" customHeight="false" outlineLevel="0" collapsed="false">
      <c r="A39" s="0" t="s">
        <v>60</v>
      </c>
      <c r="B39" s="0" t="n">
        <v>11800</v>
      </c>
    </row>
    <row r="40" customFormat="false" ht="15" hidden="false" customHeight="false" outlineLevel="0" collapsed="false">
      <c r="A40" s="0" t="s">
        <v>61</v>
      </c>
      <c r="B40" s="0" t="n">
        <v>16000</v>
      </c>
      <c r="C40" s="0" t="s">
        <v>62</v>
      </c>
    </row>
    <row r="41" customFormat="false" ht="15" hidden="false" customHeight="false" outlineLevel="0" collapsed="false">
      <c r="A41" s="0" t="s">
        <v>63</v>
      </c>
      <c r="B41" s="0" t="n">
        <v>8000</v>
      </c>
    </row>
    <row r="42" customFormat="false" ht="15" hidden="false" customHeight="false" outlineLevel="0" collapsed="false">
      <c r="A42" s="0" t="s">
        <v>64</v>
      </c>
      <c r="B42" s="0" t="n">
        <v>20000</v>
      </c>
    </row>
    <row r="43" customFormat="false" ht="15" hidden="false" customHeight="false" outlineLevel="0" collapsed="false">
      <c r="A43" s="0" t="s">
        <v>65</v>
      </c>
      <c r="B43" s="0" t="n">
        <v>250000</v>
      </c>
    </row>
    <row r="44" customFormat="false" ht="15" hidden="false" customHeight="false" outlineLevel="0" collapsed="false">
      <c r="A44" s="3" t="s">
        <v>66</v>
      </c>
    </row>
    <row r="45" customFormat="false" ht="15" hidden="false" customHeight="false" outlineLevel="0" collapsed="false">
      <c r="A45" s="0" t="s">
        <v>67</v>
      </c>
      <c r="B45" s="0" t="n">
        <v>320</v>
      </c>
    </row>
    <row r="46" customFormat="false" ht="15" hidden="false" customHeight="false" outlineLevel="0" collapsed="false">
      <c r="A46" s="0" t="s">
        <v>68</v>
      </c>
      <c r="B46" s="0" t="n">
        <v>56</v>
      </c>
    </row>
    <row r="47" customFormat="false" ht="15" hidden="false" customHeight="false" outlineLevel="0" collapsed="false">
      <c r="A47" s="0" t="s">
        <v>69</v>
      </c>
      <c r="B47" s="0" t="n">
        <v>36</v>
      </c>
    </row>
    <row r="48" customFormat="false" ht="15" hidden="false" customHeight="false" outlineLevel="0" collapsed="false">
      <c r="A48" s="0" t="s">
        <v>70</v>
      </c>
      <c r="B48" s="0" t="n">
        <v>12.5</v>
      </c>
    </row>
    <row r="49" customFormat="false" ht="15" hidden="false" customHeight="false" outlineLevel="0" collapsed="false">
      <c r="A49" s="3" t="s">
        <v>71</v>
      </c>
    </row>
    <row r="50" customFormat="false" ht="15" hidden="false" customHeight="false" outlineLevel="0" collapsed="false">
      <c r="A50" s="0" t="s">
        <v>72</v>
      </c>
      <c r="B50" s="0" t="n">
        <v>3</v>
      </c>
    </row>
    <row r="51" customFormat="false" ht="15" hidden="false" customHeight="false" outlineLevel="0" collapsed="false">
      <c r="A51" s="0" t="s">
        <v>73</v>
      </c>
      <c r="B51" s="0" t="n">
        <v>5</v>
      </c>
    </row>
    <row r="52" customFormat="false" ht="15" hidden="false" customHeight="false" outlineLevel="0" collapsed="false">
      <c r="A52" s="3" t="s">
        <v>74</v>
      </c>
    </row>
    <row r="53" customFormat="false" ht="15" hidden="false" customHeight="false" outlineLevel="0" collapsed="false">
      <c r="A53" s="0" t="s">
        <v>75</v>
      </c>
      <c r="B53" s="0" t="n">
        <v>0</v>
      </c>
    </row>
    <row r="54" customFormat="false" ht="15" hidden="false" customHeight="false" outlineLevel="0" collapsed="false">
      <c r="A54" s="0" t="s">
        <v>76</v>
      </c>
      <c r="B54" s="0" t="n">
        <v>0</v>
      </c>
    </row>
    <row r="55" customFormat="false" ht="15" hidden="false" customHeight="false" outlineLevel="0" collapsed="false">
      <c r="A55" s="0" t="s">
        <v>77</v>
      </c>
      <c r="B55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L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2"/>
    <col collapsed="false" customWidth="true" hidden="false" outlineLevel="0" max="12" min="3" style="0" width="16"/>
  </cols>
  <sheetData>
    <row r="1" customFormat="false" ht="16.15" hidden="false" customHeight="false" outlineLevel="0" collapsed="false">
      <c r="A1" s="4" t="s">
        <v>78</v>
      </c>
    </row>
    <row r="2" customFormat="false" ht="15" hidden="false" customHeight="false" outlineLevel="0" collapsed="false">
      <c r="A2" s="2" t="s">
        <v>1</v>
      </c>
      <c r="B2" s="2" t="s">
        <v>79</v>
      </c>
      <c r="C2" s="2" t="s">
        <v>80</v>
      </c>
      <c r="D2" s="2" t="s">
        <v>81</v>
      </c>
      <c r="E2" s="2" t="s">
        <v>82</v>
      </c>
      <c r="F2" s="2" t="s">
        <v>83</v>
      </c>
      <c r="G2" s="2" t="s">
        <v>84</v>
      </c>
      <c r="H2" s="2" t="s">
        <v>85</v>
      </c>
      <c r="I2" s="2" t="s">
        <v>86</v>
      </c>
      <c r="J2" s="2" t="s">
        <v>87</v>
      </c>
      <c r="K2" s="2" t="s">
        <v>88</v>
      </c>
      <c r="L2" s="2" t="s">
        <v>89</v>
      </c>
    </row>
    <row r="4" customFormat="false" ht="15" hidden="false" customHeight="false" outlineLevel="0" collapsed="false">
      <c r="A4" s="0" t="s">
        <v>90</v>
      </c>
      <c r="B4" s="0" t="s">
        <v>91</v>
      </c>
      <c r="C4" s="5" t="n">
        <v>27500000000</v>
      </c>
      <c r="D4" s="5" t="n">
        <v>32500000000</v>
      </c>
      <c r="E4" s="5" t="n">
        <v>35700000000</v>
      </c>
      <c r="F4" s="5" t="n">
        <v>38200000000</v>
      </c>
      <c r="G4" s="5" t="n">
        <v>40300000000</v>
      </c>
      <c r="H4" s="5" t="n">
        <v>42200000000</v>
      </c>
      <c r="I4" s="5" t="n">
        <v>43800000000</v>
      </c>
      <c r="J4" s="5" t="n">
        <v>45300000000</v>
      </c>
      <c r="K4" s="5" t="n">
        <v>46400000000</v>
      </c>
      <c r="L4" s="5" t="n">
        <v>47400000000</v>
      </c>
    </row>
    <row r="5" customFormat="false" ht="15" hidden="false" customHeight="false" outlineLevel="0" collapsed="false">
      <c r="A5" s="0" t="s">
        <v>92</v>
      </c>
      <c r="B5" s="0" t="s">
        <v>91</v>
      </c>
      <c r="C5" s="5" t="n">
        <v>901000000000</v>
      </c>
      <c r="D5" s="5" t="n">
        <v>1800000000000</v>
      </c>
      <c r="E5" s="5" t="n">
        <v>2700000000000</v>
      </c>
      <c r="F5" s="5" t="n">
        <v>3600000000000</v>
      </c>
      <c r="G5" s="5" t="n">
        <v>4510000000000</v>
      </c>
      <c r="H5" s="5" t="n">
        <v>5410000000000</v>
      </c>
      <c r="I5" s="5" t="n">
        <v>6310000000000</v>
      </c>
      <c r="J5" s="5" t="n">
        <v>7210000000000</v>
      </c>
      <c r="K5" s="5" t="n">
        <v>8110000000000</v>
      </c>
      <c r="L5" s="5" t="n">
        <v>9010000000000</v>
      </c>
    </row>
    <row r="6" customFormat="false" ht="15" hidden="false" customHeight="false" outlineLevel="0" collapsed="false">
      <c r="A6" s="0" t="s">
        <v>93</v>
      </c>
      <c r="B6" s="0" t="s">
        <v>91</v>
      </c>
      <c r="C6" s="5" t="n">
        <v>2910000000000</v>
      </c>
      <c r="D6" s="5" t="n">
        <v>6870000000000</v>
      </c>
      <c r="E6" s="5" t="n">
        <v>11300000000000</v>
      </c>
      <c r="F6" s="5" t="n">
        <v>16100000000000</v>
      </c>
      <c r="G6" s="5" t="n">
        <v>21300000000000</v>
      </c>
      <c r="H6" s="5" t="n">
        <v>26700000000000</v>
      </c>
      <c r="I6" s="5" t="n">
        <v>32400000000000</v>
      </c>
      <c r="J6" s="5" t="n">
        <v>38300000000000</v>
      </c>
      <c r="K6" s="5" t="n">
        <v>44100000000000</v>
      </c>
      <c r="L6" s="5" t="n">
        <v>50100000000000</v>
      </c>
    </row>
    <row r="8" customFormat="false" ht="15" hidden="false" customHeight="false" outlineLevel="0" collapsed="false">
      <c r="A8" s="0" t="s">
        <v>94</v>
      </c>
      <c r="B8" s="0" t="s">
        <v>95</v>
      </c>
      <c r="C8" s="5" t="n">
        <v>5000</v>
      </c>
      <c r="D8" s="5" t="n">
        <v>6000</v>
      </c>
      <c r="E8" s="5" t="n">
        <v>7000</v>
      </c>
      <c r="F8" s="5" t="n">
        <v>7500</v>
      </c>
      <c r="G8" s="5" t="n">
        <v>7500</v>
      </c>
      <c r="H8" s="5" t="n">
        <v>7500</v>
      </c>
      <c r="I8" s="5" t="n">
        <v>7500</v>
      </c>
      <c r="J8" s="5" t="n">
        <v>7500</v>
      </c>
      <c r="K8" s="5" t="n">
        <v>7500</v>
      </c>
      <c r="L8" s="5" t="n">
        <v>7500</v>
      </c>
    </row>
    <row r="9" customFormat="false" ht="15" hidden="false" customHeight="false" outlineLevel="0" collapsed="false">
      <c r="A9" s="0" t="s">
        <v>96</v>
      </c>
      <c r="B9" s="0" t="s">
        <v>97</v>
      </c>
      <c r="C9" s="0" t="n">
        <v>0.4</v>
      </c>
      <c r="D9" s="0" t="n">
        <v>0.5</v>
      </c>
      <c r="E9" s="0" t="n">
        <v>0.6</v>
      </c>
      <c r="F9" s="0" t="n">
        <v>0.7</v>
      </c>
      <c r="G9" s="0" t="n">
        <v>0.8</v>
      </c>
      <c r="H9" s="0" t="n">
        <v>0.9</v>
      </c>
      <c r="I9" s="0" t="n">
        <v>1</v>
      </c>
      <c r="J9" s="0" t="n">
        <v>1.1</v>
      </c>
      <c r="K9" s="0" t="n">
        <v>1.2</v>
      </c>
      <c r="L9" s="0" t="n">
        <v>1.3</v>
      </c>
    </row>
    <row r="11" customFormat="false" ht="15" hidden="false" customHeight="false" outlineLevel="0" collapsed="false">
      <c r="A11" s="0" t="s">
        <v>98</v>
      </c>
      <c r="B11" s="0" t="s">
        <v>97</v>
      </c>
      <c r="C11" s="0" t="n">
        <v>0.00819222</v>
      </c>
      <c r="D11" s="0" t="n">
        <v>0.00819222</v>
      </c>
      <c r="E11" s="0" t="n">
        <v>0.00819222</v>
      </c>
      <c r="F11" s="0" t="n">
        <v>0.00819222</v>
      </c>
      <c r="G11" s="0" t="n">
        <v>0.00819222</v>
      </c>
      <c r="H11" s="0" t="n">
        <v>0.00819222</v>
      </c>
      <c r="I11" s="0" t="n">
        <v>0.00819222</v>
      </c>
      <c r="J11" s="0" t="n">
        <v>0.00819222</v>
      </c>
      <c r="K11" s="0" t="n">
        <v>0.00819222</v>
      </c>
      <c r="L11" s="0" t="n">
        <v>0.00819222</v>
      </c>
    </row>
    <row r="12" customFormat="false" ht="15" hidden="false" customHeight="false" outlineLevel="0" collapsed="false">
      <c r="A12" s="0" t="s">
        <v>99</v>
      </c>
      <c r="B12" s="0" t="s">
        <v>100</v>
      </c>
      <c r="C12" s="0" t="n">
        <v>0.464</v>
      </c>
      <c r="D12" s="0" t="n">
        <v>0.464</v>
      </c>
      <c r="E12" s="0" t="n">
        <v>0.464</v>
      </c>
      <c r="F12" s="0" t="n">
        <v>0.464</v>
      </c>
      <c r="G12" s="0" t="n">
        <v>0.464</v>
      </c>
      <c r="H12" s="0" t="n">
        <v>0.464</v>
      </c>
      <c r="I12" s="0" t="n">
        <v>0.464</v>
      </c>
      <c r="J12" s="0" t="n">
        <v>0.464</v>
      </c>
      <c r="K12" s="0" t="n">
        <v>0.464</v>
      </c>
      <c r="L12" s="0" t="n">
        <v>0.464</v>
      </c>
    </row>
    <row r="13" customFormat="false" ht="15" hidden="false" customHeight="false" outlineLevel="0" collapsed="false">
      <c r="A13" s="0" t="s">
        <v>101</v>
      </c>
      <c r="B13" s="0" t="s">
        <v>100</v>
      </c>
      <c r="C13" s="0" t="n">
        <v>0.27</v>
      </c>
      <c r="D13" s="0" t="n">
        <v>0.27</v>
      </c>
      <c r="E13" s="0" t="n">
        <v>0.27</v>
      </c>
      <c r="F13" s="0" t="n">
        <v>0.27</v>
      </c>
      <c r="G13" s="0" t="n">
        <v>0.27</v>
      </c>
      <c r="H13" s="0" t="n">
        <v>0.27</v>
      </c>
      <c r="I13" s="0" t="n">
        <v>0.27</v>
      </c>
      <c r="J13" s="0" t="n">
        <v>0.27</v>
      </c>
      <c r="K13" s="0" t="n">
        <v>0.27</v>
      </c>
      <c r="L13" s="0" t="n">
        <v>0.27</v>
      </c>
    </row>
    <row r="14" customFormat="false" ht="15" hidden="false" customHeight="false" outlineLevel="0" collapsed="false">
      <c r="A14" s="0" t="s">
        <v>102</v>
      </c>
      <c r="B14" s="0" t="s">
        <v>100</v>
      </c>
      <c r="C14" s="0" t="n">
        <v>0.281</v>
      </c>
      <c r="D14" s="0" t="n">
        <v>0.281</v>
      </c>
      <c r="E14" s="0" t="n">
        <v>0.281</v>
      </c>
      <c r="F14" s="0" t="n">
        <v>0.281</v>
      </c>
      <c r="G14" s="0" t="n">
        <v>0.281</v>
      </c>
      <c r="H14" s="0" t="n">
        <v>0.281</v>
      </c>
      <c r="I14" s="0" t="n">
        <v>0.281</v>
      </c>
      <c r="J14" s="0" t="n">
        <v>0.281</v>
      </c>
      <c r="K14" s="0" t="n">
        <v>0.281</v>
      </c>
      <c r="L14" s="0" t="n">
        <v>0.281</v>
      </c>
    </row>
    <row r="15" customFormat="false" ht="15" hidden="false" customHeight="false" outlineLevel="0" collapsed="false">
      <c r="A15" s="0" t="s">
        <v>103</v>
      </c>
      <c r="B15" s="0" t="s">
        <v>104</v>
      </c>
      <c r="C15" s="5" t="n">
        <v>300</v>
      </c>
      <c r="D15" s="5" t="n">
        <v>300</v>
      </c>
      <c r="E15" s="5" t="n">
        <v>300</v>
      </c>
      <c r="F15" s="5" t="n">
        <v>300</v>
      </c>
      <c r="G15" s="5" t="n">
        <v>300</v>
      </c>
      <c r="H15" s="5" t="n">
        <v>300</v>
      </c>
      <c r="I15" s="5" t="n">
        <v>300</v>
      </c>
      <c r="J15" s="5" t="n">
        <v>300</v>
      </c>
      <c r="K15" s="5" t="n">
        <v>300</v>
      </c>
      <c r="L15" s="5" t="n">
        <v>300</v>
      </c>
    </row>
    <row r="16" customFormat="false" ht="15" hidden="false" customHeight="false" outlineLevel="0" collapsed="false">
      <c r="A16" s="0" t="s">
        <v>105</v>
      </c>
      <c r="B16" s="0" t="s">
        <v>106</v>
      </c>
      <c r="C16" s="5" t="n">
        <v>700</v>
      </c>
      <c r="D16" s="5" t="n">
        <v>700</v>
      </c>
      <c r="E16" s="5" t="n">
        <v>700</v>
      </c>
      <c r="F16" s="5" t="n">
        <v>700</v>
      </c>
      <c r="G16" s="5" t="n">
        <v>700</v>
      </c>
      <c r="H16" s="5" t="n">
        <v>700</v>
      </c>
      <c r="I16" s="5" t="n">
        <v>700</v>
      </c>
      <c r="J16" s="5" t="n">
        <v>700</v>
      </c>
      <c r="K16" s="5" t="n">
        <v>700</v>
      </c>
      <c r="L16" s="5" t="n">
        <v>700</v>
      </c>
    </row>
    <row r="17" customFormat="false" ht="15" hidden="false" customHeight="false" outlineLevel="0" collapsed="false">
      <c r="A17" s="0" t="s">
        <v>107</v>
      </c>
      <c r="B17" s="0" t="s">
        <v>108</v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</row>
    <row r="18" customFormat="false" ht="15" hidden="false" customHeight="false" outlineLevel="0" collapsed="false">
      <c r="A18" s="0" t="s">
        <v>109</v>
      </c>
      <c r="B18" s="0" t="s">
        <v>108</v>
      </c>
      <c r="C18" s="5" t="n">
        <v>450</v>
      </c>
      <c r="D18" s="5" t="n">
        <v>450</v>
      </c>
      <c r="E18" s="5" t="n">
        <v>450</v>
      </c>
      <c r="F18" s="5" t="n">
        <v>450</v>
      </c>
      <c r="G18" s="5" t="n">
        <v>450</v>
      </c>
      <c r="H18" s="5" t="n">
        <v>450</v>
      </c>
      <c r="I18" s="5" t="n">
        <v>450</v>
      </c>
      <c r="J18" s="5" t="n">
        <v>450</v>
      </c>
      <c r="K18" s="5" t="n">
        <v>450</v>
      </c>
      <c r="L18" s="5" t="n">
        <v>450</v>
      </c>
    </row>
    <row r="19" customFormat="false" ht="15" hidden="false" customHeight="false" outlineLevel="0" collapsed="false">
      <c r="A19" s="0" t="s">
        <v>110</v>
      </c>
      <c r="B19" s="0" t="s">
        <v>108</v>
      </c>
      <c r="C19" s="5" t="n">
        <f aca="false">C15*C16*C17</f>
        <v>210000</v>
      </c>
      <c r="D19" s="5" t="n">
        <f aca="false">D15*D16*D17</f>
        <v>210000</v>
      </c>
      <c r="E19" s="5" t="n">
        <f aca="false">E15*E16*E17</f>
        <v>210000</v>
      </c>
      <c r="F19" s="5" t="n">
        <f aca="false">F15*F16*F17</f>
        <v>210000</v>
      </c>
      <c r="G19" s="5" t="n">
        <f aca="false">G15*G16*G17</f>
        <v>210000</v>
      </c>
      <c r="H19" s="5" t="n">
        <f aca="false">H15*H16*H17</f>
        <v>210000</v>
      </c>
      <c r="I19" s="5" t="n">
        <f aca="false">I15*I16*I17</f>
        <v>210000</v>
      </c>
      <c r="J19" s="5" t="n">
        <f aca="false">J15*J16*J17</f>
        <v>210000</v>
      </c>
      <c r="K19" s="5" t="n">
        <f aca="false">K15*K16*K17</f>
        <v>210000</v>
      </c>
      <c r="L19" s="5" t="n">
        <f aca="false">L15*L16*L17</f>
        <v>210000</v>
      </c>
    </row>
    <row r="20" customFormat="false" ht="15" hidden="false" customHeight="false" outlineLevel="0" collapsed="false">
      <c r="A20" s="0" t="s">
        <v>111</v>
      </c>
      <c r="B20" s="0" t="s">
        <v>108</v>
      </c>
      <c r="C20" s="5" t="n">
        <f aca="false">0.01*C19</f>
        <v>2100</v>
      </c>
      <c r="D20" s="5" t="n">
        <f aca="false">0.01*D19</f>
        <v>2100</v>
      </c>
      <c r="E20" s="5" t="n">
        <f aca="false">0.01*E19</f>
        <v>2100</v>
      </c>
      <c r="F20" s="5" t="n">
        <f aca="false">0.01*F19</f>
        <v>2100</v>
      </c>
      <c r="G20" s="5" t="n">
        <f aca="false">0.01*G19</f>
        <v>2100</v>
      </c>
      <c r="H20" s="5" t="n">
        <f aca="false">0.01*H19</f>
        <v>2100</v>
      </c>
      <c r="I20" s="5" t="n">
        <f aca="false">0.01*I19</f>
        <v>2100</v>
      </c>
      <c r="J20" s="5" t="n">
        <f aca="false">0.01*J19</f>
        <v>2100</v>
      </c>
      <c r="K20" s="5" t="n">
        <f aca="false">0.01*K19</f>
        <v>2100</v>
      </c>
      <c r="L20" s="5" t="n">
        <f aca="false">0.01*L19</f>
        <v>2100</v>
      </c>
    </row>
    <row r="21" customFormat="false" ht="15" hidden="false" customHeight="false" outlineLevel="0" collapsed="false">
      <c r="A21" s="0" t="s">
        <v>112</v>
      </c>
      <c r="B21" s="0" t="s">
        <v>108</v>
      </c>
      <c r="C21" s="5" t="n">
        <f aca="false">C15*C18</f>
        <v>135000</v>
      </c>
      <c r="D21" s="5" t="n">
        <f aca="false">D15*D18</f>
        <v>135000</v>
      </c>
      <c r="E21" s="5" t="n">
        <f aca="false">E15*E18</f>
        <v>135000</v>
      </c>
      <c r="F21" s="5" t="n">
        <f aca="false">F15*F18</f>
        <v>135000</v>
      </c>
      <c r="G21" s="5" t="n">
        <f aca="false">G15*G18</f>
        <v>135000</v>
      </c>
      <c r="H21" s="5" t="n">
        <f aca="false">H15*H18</f>
        <v>135000</v>
      </c>
      <c r="I21" s="5" t="n">
        <f aca="false">I15*I18</f>
        <v>135000</v>
      </c>
      <c r="J21" s="5" t="n">
        <f aca="false">J15*J18</f>
        <v>135000</v>
      </c>
      <c r="K21" s="5" t="n">
        <f aca="false">K15*K18</f>
        <v>135000</v>
      </c>
      <c r="L21" s="5" t="n">
        <f aca="false">L15*L18</f>
        <v>135000</v>
      </c>
    </row>
    <row r="22" customFormat="false" ht="15" hidden="false" customHeight="false" outlineLevel="0" collapsed="false">
      <c r="A22" s="0" t="s">
        <v>113</v>
      </c>
      <c r="B22" s="0" t="s">
        <v>91</v>
      </c>
      <c r="C22" s="0" t="n">
        <v>2</v>
      </c>
      <c r="D22" s="0" t="n">
        <v>2</v>
      </c>
      <c r="E22" s="0" t="n">
        <v>2</v>
      </c>
      <c r="F22" s="0" t="n">
        <v>2</v>
      </c>
      <c r="G22" s="0" t="n">
        <v>2</v>
      </c>
      <c r="H22" s="0" t="n">
        <v>2</v>
      </c>
      <c r="I22" s="0" t="n">
        <v>2</v>
      </c>
      <c r="J22" s="0" t="n">
        <v>2</v>
      </c>
      <c r="K22" s="0" t="n">
        <v>2</v>
      </c>
      <c r="L22" s="0" t="n">
        <v>2</v>
      </c>
    </row>
    <row r="23" customFormat="false" ht="15" hidden="false" customHeight="false" outlineLevel="0" collapsed="false">
      <c r="A23" s="0" t="s">
        <v>114</v>
      </c>
      <c r="B23" s="0" t="s">
        <v>115</v>
      </c>
      <c r="C23" s="5" t="n">
        <v>1896</v>
      </c>
      <c r="D23" s="5" t="n">
        <v>1953</v>
      </c>
      <c r="E23" s="5" t="n">
        <v>2012</v>
      </c>
      <c r="F23" s="5" t="n">
        <v>2073</v>
      </c>
      <c r="G23" s="5" t="n">
        <v>2136</v>
      </c>
      <c r="H23" s="5" t="n">
        <v>2201</v>
      </c>
      <c r="I23" s="5" t="n">
        <v>2268</v>
      </c>
      <c r="J23" s="5" t="n">
        <v>2337</v>
      </c>
      <c r="K23" s="5" t="n">
        <v>2408</v>
      </c>
      <c r="L23" s="5" t="n">
        <v>2481</v>
      </c>
    </row>
    <row r="24" customFormat="false" ht="15" hidden="false" customHeight="false" outlineLevel="0" collapsed="false">
      <c r="A24" s="0" t="s">
        <v>116</v>
      </c>
      <c r="B24" s="0" t="s">
        <v>115</v>
      </c>
      <c r="C24" s="5" t="n">
        <v>21005</v>
      </c>
      <c r="D24" s="5" t="n">
        <v>21636</v>
      </c>
      <c r="E24" s="5" t="n">
        <v>22286</v>
      </c>
      <c r="F24" s="5" t="n">
        <v>22955</v>
      </c>
      <c r="G24" s="5" t="n">
        <v>23644</v>
      </c>
      <c r="H24" s="5" t="n">
        <v>24354</v>
      </c>
      <c r="I24" s="5" t="n">
        <v>25085</v>
      </c>
      <c r="J24" s="5" t="n">
        <v>25838</v>
      </c>
      <c r="K24" s="5" t="n">
        <v>26614</v>
      </c>
      <c r="L24" s="5" t="n">
        <v>27413</v>
      </c>
    </row>
    <row r="25" customFormat="false" ht="15" hidden="false" customHeight="false" outlineLevel="0" collapsed="false">
      <c r="A25" s="0" t="s">
        <v>117</v>
      </c>
      <c r="B25" s="0" t="s">
        <v>115</v>
      </c>
      <c r="C25" s="5" t="n">
        <v>467</v>
      </c>
      <c r="D25" s="5" t="n">
        <v>482</v>
      </c>
      <c r="E25" s="5" t="n">
        <v>497</v>
      </c>
      <c r="F25" s="5" t="n">
        <v>512</v>
      </c>
      <c r="G25" s="5" t="n">
        <v>528</v>
      </c>
      <c r="H25" s="5" t="n">
        <v>544</v>
      </c>
      <c r="I25" s="5" t="n">
        <v>561</v>
      </c>
      <c r="J25" s="5" t="n">
        <v>578</v>
      </c>
      <c r="K25" s="5" t="n">
        <v>596</v>
      </c>
      <c r="L25" s="5" t="n">
        <v>614</v>
      </c>
    </row>
    <row r="26" customFormat="false" ht="15" hidden="false" customHeight="false" outlineLevel="0" collapsed="false">
      <c r="A26" s="0" t="s">
        <v>118</v>
      </c>
      <c r="B26" s="0" t="s">
        <v>115</v>
      </c>
      <c r="C26" s="5" t="n">
        <v>41</v>
      </c>
      <c r="D26" s="5" t="n">
        <v>41</v>
      </c>
      <c r="E26" s="5" t="n">
        <v>41</v>
      </c>
      <c r="F26" s="5" t="n">
        <v>41</v>
      </c>
      <c r="G26" s="5" t="n">
        <v>41</v>
      </c>
      <c r="H26" s="5" t="n">
        <v>41</v>
      </c>
      <c r="I26" s="5" t="n">
        <v>41</v>
      </c>
      <c r="J26" s="5" t="n">
        <v>41</v>
      </c>
      <c r="K26" s="5" t="n">
        <v>41</v>
      </c>
      <c r="L26" s="5" t="n">
        <v>41</v>
      </c>
    </row>
    <row r="27" customFormat="false" ht="15" hidden="false" customHeight="false" outlineLevel="0" collapsed="false">
      <c r="A27" s="0" t="s">
        <v>119</v>
      </c>
      <c r="B27" s="0" t="s">
        <v>100</v>
      </c>
      <c r="C27" s="0" t="n">
        <v>3</v>
      </c>
      <c r="D27" s="0" t="n">
        <v>3</v>
      </c>
      <c r="E27" s="0" t="n">
        <v>3</v>
      </c>
      <c r="F27" s="0" t="n">
        <v>3</v>
      </c>
      <c r="G27" s="0" t="n">
        <v>3</v>
      </c>
      <c r="H27" s="0" t="n">
        <v>3</v>
      </c>
      <c r="I27" s="0" t="n">
        <v>3</v>
      </c>
      <c r="J27" s="0" t="n">
        <v>3</v>
      </c>
      <c r="K27" s="0" t="n">
        <v>3</v>
      </c>
      <c r="L27" s="0" t="n">
        <v>3</v>
      </c>
    </row>
    <row r="29" customFormat="false" ht="15" hidden="false" customHeight="false" outlineLevel="0" collapsed="false">
      <c r="A29" s="3" t="s">
        <v>120</v>
      </c>
    </row>
    <row r="30" customFormat="false" ht="15" hidden="false" customHeight="false" outlineLevel="0" collapsed="false">
      <c r="A30" s="2" t="s">
        <v>121</v>
      </c>
      <c r="B30" s="2" t="s">
        <v>79</v>
      </c>
      <c r="C30" s="2" t="s">
        <v>80</v>
      </c>
      <c r="D30" s="2" t="s">
        <v>81</v>
      </c>
      <c r="E30" s="2" t="s">
        <v>82</v>
      </c>
      <c r="F30" s="2" t="s">
        <v>83</v>
      </c>
      <c r="G30" s="2" t="s">
        <v>84</v>
      </c>
      <c r="H30" s="2" t="s">
        <v>85</v>
      </c>
      <c r="I30" s="2" t="s">
        <v>86</v>
      </c>
      <c r="J30" s="2" t="s">
        <v>87</v>
      </c>
      <c r="K30" s="2" t="s">
        <v>88</v>
      </c>
      <c r="L30" s="2" t="s">
        <v>89</v>
      </c>
    </row>
    <row r="31" customFormat="false" ht="15" hidden="false" customHeight="false" outlineLevel="0" collapsed="false">
      <c r="A31" s="0" t="s">
        <v>122</v>
      </c>
      <c r="B31" s="0" t="s">
        <v>97</v>
      </c>
      <c r="C31" s="6" t="n">
        <f aca="false">4.5/57000*C16*C15</f>
        <v>16.5789473684211</v>
      </c>
      <c r="D31" s="6" t="n">
        <f aca="false">4.5/57000*D16*D15</f>
        <v>16.5789473684211</v>
      </c>
      <c r="E31" s="6" t="n">
        <f aca="false">4.5/57000*E16*E15</f>
        <v>16.5789473684211</v>
      </c>
      <c r="F31" s="6" t="n">
        <f aca="false">4.5/57000*F16*F15</f>
        <v>16.5789473684211</v>
      </c>
      <c r="G31" s="6" t="n">
        <f aca="false">4.5/57000*G16*G15</f>
        <v>16.5789473684211</v>
      </c>
      <c r="H31" s="6" t="n">
        <f aca="false">4.5/57000*H16*H15</f>
        <v>16.5789473684211</v>
      </c>
      <c r="I31" s="6" t="n">
        <f aca="false">4.5/57000*I16*I15</f>
        <v>16.5789473684211</v>
      </c>
      <c r="J31" s="6" t="n">
        <f aca="false">4.5/57000*J16*J15</f>
        <v>16.5789473684211</v>
      </c>
      <c r="K31" s="6" t="n">
        <f aca="false">4.5/57000*K16*K15</f>
        <v>16.5789473684211</v>
      </c>
      <c r="L31" s="6" t="n">
        <f aca="false">4.5/57000*L16*L15</f>
        <v>16.5789473684211</v>
      </c>
    </row>
    <row r="32" customFormat="false" ht="15" hidden="false" customHeight="false" outlineLevel="0" collapsed="false">
      <c r="A32" s="0" t="s">
        <v>123</v>
      </c>
      <c r="B32" s="0" t="s">
        <v>97</v>
      </c>
      <c r="C32" s="6" t="n">
        <v>1680</v>
      </c>
      <c r="D32" s="6" t="n">
        <v>3360</v>
      </c>
      <c r="E32" s="6" t="n">
        <v>3360</v>
      </c>
      <c r="F32" s="6" t="n">
        <v>3360</v>
      </c>
      <c r="G32" s="6" t="n">
        <v>3360</v>
      </c>
      <c r="H32" s="6" t="n">
        <v>3360</v>
      </c>
      <c r="I32" s="6" t="n">
        <v>3360</v>
      </c>
      <c r="J32" s="6" t="n">
        <v>3360</v>
      </c>
      <c r="K32" s="6" t="n">
        <v>3360</v>
      </c>
      <c r="L32" s="6" t="n">
        <v>3360</v>
      </c>
    </row>
    <row r="33" customFormat="false" ht="15" hidden="false" customHeight="false" outlineLevel="0" collapsed="false">
      <c r="A33" s="0" t="s">
        <v>124</v>
      </c>
      <c r="B33" s="0" t="s">
        <v>97</v>
      </c>
      <c r="C33" s="6" t="n">
        <v>180</v>
      </c>
      <c r="D33" s="6" t="n">
        <v>180</v>
      </c>
      <c r="E33" s="6" t="n">
        <v>180</v>
      </c>
      <c r="F33" s="6" t="n">
        <v>180</v>
      </c>
      <c r="G33" s="6" t="n">
        <v>180</v>
      </c>
      <c r="H33" s="6" t="n">
        <v>180</v>
      </c>
      <c r="I33" s="6" t="n">
        <v>180</v>
      </c>
      <c r="J33" s="6" t="n">
        <v>180</v>
      </c>
      <c r="K33" s="6" t="n">
        <v>180</v>
      </c>
      <c r="L33" s="6" t="n">
        <v>180</v>
      </c>
    </row>
    <row r="35" customFormat="false" ht="15" hidden="false" customHeight="false" outlineLevel="0" collapsed="false">
      <c r="A35" s="0" t="s">
        <v>125</v>
      </c>
      <c r="B35" s="0" t="s">
        <v>97</v>
      </c>
      <c r="C35" s="6" t="n">
        <f aca="false">(C19+C20)*C11*C12+C21*C11*C14</f>
        <v>1117.004281668</v>
      </c>
      <c r="D35" s="6" t="n">
        <f aca="false">(D19+D20)*D11*D12+D21*D11*D14</f>
        <v>1117.004281668</v>
      </c>
      <c r="E35" s="6" t="n">
        <f aca="false">(E19+E20)*E11*E12+E21*E11*E14</f>
        <v>1117.004281668</v>
      </c>
      <c r="F35" s="6" t="n">
        <f aca="false">(F19+F20)*F11*F12+F21*F11*F14</f>
        <v>1117.004281668</v>
      </c>
      <c r="G35" s="6" t="n">
        <f aca="false">(G19+G20)*G11*G12+G21*G11*G14</f>
        <v>1117.004281668</v>
      </c>
      <c r="H35" s="6" t="n">
        <f aca="false">(H19+H20)*H11*H12+H21*H11*H14</f>
        <v>1117.004281668</v>
      </c>
      <c r="I35" s="6" t="n">
        <f aca="false">(I19+I20)*I11*I12+I21*I11*I14</f>
        <v>1117.004281668</v>
      </c>
      <c r="J35" s="6" t="n">
        <f aca="false">(J19+J20)*J11*J12+J21*J11*J14</f>
        <v>1117.004281668</v>
      </c>
      <c r="K35" s="6" t="n">
        <f aca="false">(K19+K20)*K11*K12+K21*K11*K14</f>
        <v>1117.004281668</v>
      </c>
      <c r="L35" s="6" t="n">
        <f aca="false">(L19+L20)*L11*L12+L21*L11*L14</f>
        <v>1117.004281668</v>
      </c>
    </row>
    <row r="36" customFormat="false" ht="15" hidden="false" customHeight="false" outlineLevel="0" collapsed="false">
      <c r="A36" s="0" t="s">
        <v>126</v>
      </c>
      <c r="B36" s="0" t="s">
        <v>97</v>
      </c>
      <c r="C36" s="6" t="n">
        <v>2700</v>
      </c>
      <c r="D36" s="6" t="n">
        <v>2700</v>
      </c>
      <c r="E36" s="6" t="n">
        <v>2700</v>
      </c>
      <c r="F36" s="6" t="n">
        <v>2700</v>
      </c>
      <c r="G36" s="6" t="n">
        <v>2700</v>
      </c>
      <c r="H36" s="6" t="n">
        <v>2700</v>
      </c>
      <c r="I36" s="6" t="n">
        <v>2700</v>
      </c>
      <c r="J36" s="6" t="n">
        <v>2700</v>
      </c>
      <c r="K36" s="6" t="n">
        <v>2700</v>
      </c>
      <c r="L36" s="6" t="n">
        <v>2700</v>
      </c>
    </row>
    <row r="38" customFormat="false" ht="15" hidden="false" customHeight="false" outlineLevel="0" collapsed="false">
      <c r="A38" s="0" t="s">
        <v>127</v>
      </c>
      <c r="B38" s="0" t="s">
        <v>97</v>
      </c>
      <c r="C38" s="6" t="n">
        <f aca="false">0.01906*C19/C17</f>
        <v>4002.6</v>
      </c>
      <c r="D38" s="6" t="n">
        <f aca="false">0.01906*D19/D17</f>
        <v>4002.6</v>
      </c>
      <c r="E38" s="6" t="n">
        <f aca="false">0.01906*E19/E17</f>
        <v>4002.6</v>
      </c>
      <c r="F38" s="6" t="n">
        <f aca="false">0.01906*F19/F17</f>
        <v>4002.6</v>
      </c>
      <c r="G38" s="6" t="n">
        <f aca="false">0.01906*G19/G17</f>
        <v>4002.6</v>
      </c>
      <c r="H38" s="6" t="n">
        <f aca="false">0.01906*H19/H17</f>
        <v>4002.6</v>
      </c>
      <c r="I38" s="6" t="n">
        <f aca="false">0.01906*I19/I17</f>
        <v>4002.6</v>
      </c>
      <c r="J38" s="6" t="n">
        <f aca="false">0.01906*J19/J17</f>
        <v>4002.6</v>
      </c>
      <c r="K38" s="6" t="n">
        <f aca="false">0.01906*K19/K17</f>
        <v>4002.6</v>
      </c>
      <c r="L38" s="6" t="n">
        <f aca="false">0.01906*L19/L17</f>
        <v>4002.6</v>
      </c>
    </row>
    <row r="39" customFormat="false" ht="15" hidden="false" customHeight="false" outlineLevel="0" collapsed="false">
      <c r="A39" s="0" t="s">
        <v>128</v>
      </c>
      <c r="B39" s="0" t="s">
        <v>97</v>
      </c>
      <c r="C39" s="6" t="n">
        <f aca="false">0.00618*C19/C17</f>
        <v>1297.8</v>
      </c>
      <c r="D39" s="6" t="n">
        <f aca="false">0.00618*D19/D17</f>
        <v>1297.8</v>
      </c>
      <c r="E39" s="6" t="n">
        <f aca="false">0.00618*E19/E17</f>
        <v>1297.8</v>
      </c>
      <c r="F39" s="6" t="n">
        <f aca="false">0.00618*F19/F17</f>
        <v>1297.8</v>
      </c>
      <c r="G39" s="6" t="n">
        <f aca="false">0.00618*G19/G17</f>
        <v>1297.8</v>
      </c>
      <c r="H39" s="6" t="n">
        <f aca="false">0.00618*H19/H17</f>
        <v>1297.8</v>
      </c>
      <c r="I39" s="6" t="n">
        <f aca="false">0.00618*I19/I17</f>
        <v>1297.8</v>
      </c>
      <c r="J39" s="6" t="n">
        <f aca="false">0.00618*J19/J17</f>
        <v>1297.8</v>
      </c>
      <c r="K39" s="6" t="n">
        <f aca="false">0.00618*K19/K17</f>
        <v>1297.8</v>
      </c>
      <c r="L39" s="6" t="n">
        <f aca="false">0.00618*L19/L17</f>
        <v>1297.8</v>
      </c>
    </row>
    <row r="40" customFormat="false" ht="15" hidden="false" customHeight="false" outlineLevel="0" collapsed="false">
      <c r="A40" s="0" t="s">
        <v>129</v>
      </c>
      <c r="B40" s="0" t="s">
        <v>97</v>
      </c>
      <c r="C40" s="6" t="n">
        <v>5</v>
      </c>
      <c r="D40" s="6" t="n">
        <v>5</v>
      </c>
      <c r="E40" s="6" t="n">
        <v>5</v>
      </c>
      <c r="F40" s="6" t="n">
        <v>5</v>
      </c>
      <c r="G40" s="6" t="n">
        <v>5</v>
      </c>
      <c r="H40" s="6" t="n">
        <v>5</v>
      </c>
      <c r="I40" s="6" t="n">
        <v>5</v>
      </c>
      <c r="J40" s="6" t="n">
        <v>5</v>
      </c>
      <c r="K40" s="6" t="n">
        <v>5</v>
      </c>
      <c r="L40" s="6" t="n">
        <v>5</v>
      </c>
    </row>
    <row r="41" customFormat="false" ht="15" hidden="false" customHeight="false" outlineLevel="0" collapsed="false">
      <c r="A41" s="0" t="s">
        <v>130</v>
      </c>
      <c r="B41" s="0" t="s">
        <v>97</v>
      </c>
      <c r="C41" s="6" t="n">
        <f aca="false">0.35*C38</f>
        <v>1400.91</v>
      </c>
      <c r="D41" s="6" t="n">
        <f aca="false">0.35*D38</f>
        <v>1400.91</v>
      </c>
      <c r="E41" s="6" t="n">
        <f aca="false">0.35*E38</f>
        <v>1400.91</v>
      </c>
      <c r="F41" s="6" t="n">
        <f aca="false">0.35*F38</f>
        <v>1400.91</v>
      </c>
      <c r="G41" s="6" t="n">
        <f aca="false">0.35*G38</f>
        <v>1400.91</v>
      </c>
      <c r="H41" s="6" t="n">
        <f aca="false">0.35*H38</f>
        <v>1400.91</v>
      </c>
      <c r="I41" s="6" t="n">
        <f aca="false">0.35*I38</f>
        <v>1400.91</v>
      </c>
      <c r="J41" s="6" t="n">
        <f aca="false">0.35*J38</f>
        <v>1400.91</v>
      </c>
      <c r="K41" s="6" t="n">
        <f aca="false">0.35*K38</f>
        <v>1400.91</v>
      </c>
      <c r="L41" s="6" t="n">
        <f aca="false">0.35*L38</f>
        <v>1400.91</v>
      </c>
    </row>
    <row r="42" customFormat="false" ht="15" hidden="false" customHeight="false" outlineLevel="0" collapsed="false">
      <c r="A42" s="0" t="s">
        <v>131</v>
      </c>
      <c r="B42" s="0" t="s">
        <v>97</v>
      </c>
      <c r="C42" s="6" t="n">
        <f aca="false">C4*C23*C27/1000000000000</f>
        <v>156.42</v>
      </c>
      <c r="D42" s="6" t="n">
        <f aca="false">D4*D23*D27/1000000000000</f>
        <v>190.4175</v>
      </c>
      <c r="E42" s="6" t="n">
        <f aca="false">E4*E23*E27/1000000000000</f>
        <v>215.4852</v>
      </c>
      <c r="F42" s="6" t="n">
        <f aca="false">F4*F23*F27/1000000000000</f>
        <v>237.5658</v>
      </c>
      <c r="G42" s="6" t="n">
        <f aca="false">G4*G23*G27/1000000000000</f>
        <v>258.2424</v>
      </c>
      <c r="H42" s="6" t="n">
        <f aca="false">H4*H23*H27/1000000000000</f>
        <v>278.6466</v>
      </c>
      <c r="I42" s="6" t="n">
        <f aca="false">I4*I23*I27/1000000000000</f>
        <v>298.0152</v>
      </c>
      <c r="J42" s="6" t="n">
        <f aca="false">J4*J23*J27/1000000000000</f>
        <v>317.5983</v>
      </c>
      <c r="K42" s="6" t="n">
        <f aca="false">K4*K23*K27/1000000000000</f>
        <v>335.1936</v>
      </c>
      <c r="L42" s="6" t="n">
        <f aca="false">L4*L23*L27/1000000000000</f>
        <v>352.7982</v>
      </c>
    </row>
    <row r="43" customFormat="false" ht="15" hidden="false" customHeight="false" outlineLevel="0" collapsed="false">
      <c r="A43" s="0" t="s">
        <v>132</v>
      </c>
      <c r="B43" s="0" t="s">
        <v>97</v>
      </c>
      <c r="C43" s="6" t="n">
        <f aca="false">(C4*(C23+C24)+C5*C25+C6*C26)*C27/1000000000000</f>
        <v>3509.5635</v>
      </c>
      <c r="D43" s="6" t="n">
        <f aca="false">(D4*(D23+D24)+D5*D25+D6*D26)*D27/1000000000000</f>
        <v>5747.7375</v>
      </c>
      <c r="E43" s="6" t="n">
        <f aca="false">(E4*(E23+E24)+E5*E25+E6*E26)*E27/1000000000000</f>
        <v>8017.9158</v>
      </c>
      <c r="F43" s="6" t="n">
        <f aca="false">(F4*(F23+F24)+F5*F25+F6*F26)*F27/1000000000000</f>
        <v>10378.1088</v>
      </c>
      <c r="G43" s="6" t="n">
        <f aca="false">(G4*(G23+G24)+G5*G25+G6*G26)*G27/1000000000000</f>
        <v>12880.542</v>
      </c>
      <c r="H43" s="6" t="n">
        <f aca="false">(H4*(H23+H24)+H5*H25+H6*H26)*H27/1000000000000</f>
        <v>15475.083</v>
      </c>
      <c r="I43" s="6" t="n">
        <f aca="false">(I4*(I23+I24)+I5*I25+I6*I26)*I27/1000000000000</f>
        <v>18199.1142</v>
      </c>
      <c r="J43" s="6" t="n">
        <f aca="false">(J4*(J23+J24)+J5*J25+J6*J26)*J27/1000000000000</f>
        <v>21042.0225</v>
      </c>
      <c r="K43" s="6" t="n">
        <f aca="false">(K4*(K23+K24)+K5*K25+K6*K26)*K27/1000000000000</f>
        <v>23964.8424</v>
      </c>
      <c r="L43" s="6" t="n">
        <f aca="false">(L4*(L23+L24)+L5*L25+L6*L26)*L27/1000000000000</f>
        <v>27009.6468</v>
      </c>
    </row>
    <row r="44" customFormat="false" ht="15" hidden="false" customHeight="false" outlineLevel="0" collapsed="false">
      <c r="A44" s="0" t="s">
        <v>133</v>
      </c>
      <c r="B44" s="0" t="s">
        <v>97</v>
      </c>
      <c r="C44" s="6" t="n">
        <f aca="false">C8*C9</f>
        <v>2000</v>
      </c>
      <c r="D44" s="6" t="n">
        <f aca="false">D8*D9</f>
        <v>3000</v>
      </c>
      <c r="E44" s="6" t="n">
        <f aca="false">E8*E9</f>
        <v>4200</v>
      </c>
      <c r="F44" s="6" t="n">
        <f aca="false">F8*F9</f>
        <v>5250</v>
      </c>
      <c r="G44" s="6" t="n">
        <f aca="false">G8*G9</f>
        <v>6000</v>
      </c>
      <c r="H44" s="6" t="n">
        <f aca="false">H8*H9</f>
        <v>6750</v>
      </c>
      <c r="I44" s="6" t="n">
        <f aca="false">I8*I9</f>
        <v>7500</v>
      </c>
      <c r="J44" s="6" t="n">
        <f aca="false">J8*J9</f>
        <v>8250</v>
      </c>
      <c r="K44" s="6" t="n">
        <f aca="false">K8*K9</f>
        <v>9000</v>
      </c>
      <c r="L44" s="6" t="n">
        <f aca="false">L8*L9</f>
        <v>9750</v>
      </c>
    </row>
    <row r="45" customFormat="false" ht="15" hidden="false" customHeight="false" outlineLevel="0" collapsed="false">
      <c r="A45" s="0" t="s">
        <v>134</v>
      </c>
      <c r="B45" s="0" t="s">
        <v>97</v>
      </c>
      <c r="C45" s="6" t="n">
        <f aca="false">0.2*SUM(C31:C44)</f>
        <v>3613.17534580728</v>
      </c>
      <c r="D45" s="6" t="n">
        <f aca="false">0.2*SUM(D31:D44)</f>
        <v>4603.60964580728</v>
      </c>
      <c r="E45" s="6" t="n">
        <f aca="false">0.2*SUM(E31:E44)</f>
        <v>5302.65884580728</v>
      </c>
      <c r="F45" s="6" t="n">
        <f aca="false">0.2*SUM(F31:F44)</f>
        <v>5989.11356580728</v>
      </c>
      <c r="G45" s="6" t="n">
        <f aca="false">0.2*SUM(G31:G44)</f>
        <v>6643.73552580729</v>
      </c>
      <c r="H45" s="6" t="n">
        <f aca="false">0.2*SUM(H31:H44)</f>
        <v>7316.72456580729</v>
      </c>
      <c r="I45" s="6" t="n">
        <f aca="false">0.2*SUM(I31:I44)</f>
        <v>8015.40452580729</v>
      </c>
      <c r="J45" s="6" t="n">
        <f aca="false">0.2*SUM(J31:J44)</f>
        <v>8737.90280580729</v>
      </c>
      <c r="K45" s="6" t="n">
        <f aca="false">0.2*SUM(K31:K44)</f>
        <v>9475.98584580729</v>
      </c>
      <c r="L45" s="6" t="n">
        <f aca="false">0.2*SUM(L31:L44)</f>
        <v>10238.4676458073</v>
      </c>
    </row>
    <row r="47" customFormat="false" ht="15" hidden="false" customHeight="false" outlineLevel="0" collapsed="false">
      <c r="A47" s="3" t="s">
        <v>135</v>
      </c>
    </row>
    <row r="48" customFormat="false" ht="15" hidden="false" customHeight="false" outlineLevel="0" collapsed="false">
      <c r="A48" s="2" t="s">
        <v>136</v>
      </c>
      <c r="B48" s="2" t="s">
        <v>79</v>
      </c>
      <c r="C48" s="2" t="s">
        <v>80</v>
      </c>
      <c r="D48" s="2" t="s">
        <v>81</v>
      </c>
      <c r="E48" s="2" t="s">
        <v>82</v>
      </c>
      <c r="F48" s="2" t="s">
        <v>83</v>
      </c>
      <c r="G48" s="2" t="s">
        <v>84</v>
      </c>
      <c r="H48" s="2" t="s">
        <v>85</v>
      </c>
      <c r="I48" s="2" t="s">
        <v>86</v>
      </c>
      <c r="J48" s="2" t="s">
        <v>87</v>
      </c>
      <c r="K48" s="2" t="s">
        <v>88</v>
      </c>
      <c r="L48" s="2" t="s">
        <v>89</v>
      </c>
    </row>
    <row r="49" customFormat="false" ht="15" hidden="false" customHeight="false" outlineLevel="0" collapsed="false">
      <c r="A49" s="0" t="s">
        <v>137</v>
      </c>
      <c r="B49" s="0" t="s">
        <v>97</v>
      </c>
      <c r="C49" s="6" t="n">
        <f aca="false">C31</f>
        <v>16.5789473684211</v>
      </c>
      <c r="D49" s="6" t="n">
        <f aca="false">D31</f>
        <v>16.5789473684211</v>
      </c>
      <c r="E49" s="6" t="n">
        <f aca="false">E31</f>
        <v>16.5789473684211</v>
      </c>
      <c r="F49" s="6" t="n">
        <f aca="false">F31</f>
        <v>16.5789473684211</v>
      </c>
      <c r="G49" s="6" t="n">
        <f aca="false">G31</f>
        <v>16.5789473684211</v>
      </c>
      <c r="H49" s="6" t="n">
        <f aca="false">H31</f>
        <v>16.5789473684211</v>
      </c>
      <c r="I49" s="6" t="n">
        <f aca="false">I31</f>
        <v>16.5789473684211</v>
      </c>
      <c r="J49" s="6" t="n">
        <f aca="false">J31</f>
        <v>16.5789473684211</v>
      </c>
      <c r="K49" s="6" t="n">
        <f aca="false">K31</f>
        <v>16.5789473684211</v>
      </c>
      <c r="L49" s="6" t="n">
        <f aca="false">L31</f>
        <v>16.5789473684211</v>
      </c>
    </row>
    <row r="50" customFormat="false" ht="15" hidden="false" customHeight="false" outlineLevel="0" collapsed="false">
      <c r="A50" s="0" t="s">
        <v>138</v>
      </c>
      <c r="B50" s="0" t="s">
        <v>97</v>
      </c>
      <c r="C50" s="6" t="n">
        <f aca="false">C42</f>
        <v>156.42</v>
      </c>
      <c r="D50" s="6" t="n">
        <f aca="false">C42+D42</f>
        <v>346.8375</v>
      </c>
      <c r="E50" s="6" t="n">
        <f aca="false">C42+D42+E42</f>
        <v>562.3227</v>
      </c>
      <c r="F50" s="6" t="n">
        <f aca="false">D42+E42+F42</f>
        <v>643.4685</v>
      </c>
      <c r="G50" s="6" t="n">
        <f aca="false">E42+F42+G42</f>
        <v>711.2934</v>
      </c>
      <c r="H50" s="6" t="n">
        <f aca="false">F42+G42+H42</f>
        <v>774.4548</v>
      </c>
      <c r="I50" s="6" t="n">
        <f aca="false">G42+H42+I42</f>
        <v>834.9042</v>
      </c>
      <c r="J50" s="6" t="n">
        <f aca="false">H42+I42+J42</f>
        <v>894.2601</v>
      </c>
      <c r="K50" s="6" t="n">
        <f aca="false">I42+J42+K42</f>
        <v>950.8071</v>
      </c>
      <c r="L50" s="6" t="n">
        <f aca="false">J42+K42+L42</f>
        <v>1005.5901</v>
      </c>
    </row>
    <row r="51" customFormat="false" ht="15" hidden="false" customHeight="false" outlineLevel="0" collapsed="false">
      <c r="A51" s="0" t="s">
        <v>139</v>
      </c>
      <c r="B51" s="0" t="s">
        <v>97</v>
      </c>
      <c r="C51" s="6" t="n">
        <f aca="false">SUM(C49:C50)+C33</f>
        <v>352.998947368421</v>
      </c>
      <c r="D51" s="6" t="n">
        <f aca="false">SUM(D49:D50)+D33</f>
        <v>543.416447368421</v>
      </c>
      <c r="E51" s="6" t="n">
        <f aca="false">SUM(E49:E50)+E33</f>
        <v>758.901647368421</v>
      </c>
      <c r="F51" s="6" t="n">
        <f aca="false">SUM(F49:F50)+F33</f>
        <v>840.047447368421</v>
      </c>
      <c r="G51" s="6" t="n">
        <f aca="false">SUM(G49:G50)+G33</f>
        <v>907.872347368421</v>
      </c>
      <c r="H51" s="6" t="n">
        <f aca="false">SUM(H49:H50)+H33</f>
        <v>971.033747368421</v>
      </c>
      <c r="I51" s="6" t="n">
        <f aca="false">SUM(I49:I50)+I33</f>
        <v>1031.48314736842</v>
      </c>
      <c r="J51" s="6" t="n">
        <f aca="false">SUM(J49:J50)+J33</f>
        <v>1090.83904736842</v>
      </c>
      <c r="K51" s="6" t="n">
        <f aca="false">SUM(K49:K50)+K33</f>
        <v>1147.38604736842</v>
      </c>
      <c r="L51" s="6" t="n">
        <f aca="false">SUM(L49:L50)+L33</f>
        <v>1202.16904736842</v>
      </c>
    </row>
    <row r="53" customFormat="false" ht="15" hidden="false" customHeight="false" outlineLevel="0" collapsed="false">
      <c r="A53" s="0" t="s">
        <v>140</v>
      </c>
      <c r="B53" s="0" t="s">
        <v>97</v>
      </c>
      <c r="C53" s="6" t="n">
        <f aca="false">SUM(C38:C45)</f>
        <v>15985.4688458073</v>
      </c>
      <c r="D53" s="6" t="n">
        <f aca="false">SUM(D38:D45)</f>
        <v>20248.0746458073</v>
      </c>
      <c r="E53" s="6" t="n">
        <f aca="false">SUM(E38:E45)</f>
        <v>24442.3698458073</v>
      </c>
      <c r="F53" s="6" t="n">
        <f aca="false">SUM(F38:F45)</f>
        <v>28561.0981658073</v>
      </c>
      <c r="G53" s="6" t="n">
        <f aca="false">SUM(G38:G45)</f>
        <v>32488.8299258073</v>
      </c>
      <c r="H53" s="6" t="n">
        <f aca="false">SUM(H38:H45)</f>
        <v>36526.7641658073</v>
      </c>
      <c r="I53" s="6" t="n">
        <f aca="false">SUM(I38:I45)</f>
        <v>40718.8439258073</v>
      </c>
      <c r="J53" s="6" t="n">
        <f aca="false">SUM(J38:J45)</f>
        <v>45053.8336058073</v>
      </c>
      <c r="K53" s="6" t="n">
        <f aca="false">SUM(K38:K45)</f>
        <v>49482.3318458073</v>
      </c>
      <c r="L53" s="6" t="n">
        <f aca="false">SUM(L38:L45)</f>
        <v>54057.2226458073</v>
      </c>
    </row>
    <row r="55" customFormat="false" ht="15" hidden="false" customHeight="false" outlineLevel="0" collapsed="false">
      <c r="A55" s="0" t="s">
        <v>141</v>
      </c>
      <c r="B55" s="0" t="s">
        <v>97</v>
      </c>
      <c r="C55" s="6" t="n">
        <f aca="false">C43</f>
        <v>3509.5635</v>
      </c>
      <c r="D55" s="6" t="n">
        <f aca="false">C43+D43</f>
        <v>9257.301</v>
      </c>
      <c r="E55" s="6" t="n">
        <f aca="false">C43+D43+E43</f>
        <v>17275.2168</v>
      </c>
      <c r="F55" s="6" t="n">
        <f aca="false">D43+E43+F43</f>
        <v>24143.7621</v>
      </c>
      <c r="G55" s="6" t="n">
        <f aca="false">E43+F43+G43</f>
        <v>31276.5666</v>
      </c>
      <c r="H55" s="6" t="n">
        <f aca="false">F43+G43+H43</f>
        <v>38733.7338</v>
      </c>
      <c r="I55" s="6" t="n">
        <f aca="false">G43+H43+I43</f>
        <v>46554.7392</v>
      </c>
      <c r="J55" s="6" t="n">
        <f aca="false">H43+I43+J43</f>
        <v>54716.2197</v>
      </c>
      <c r="K55" s="6" t="n">
        <f aca="false">I43+J43+K43</f>
        <v>63205.9791</v>
      </c>
      <c r="L55" s="6" t="n">
        <f aca="false">J43+K43+L43</f>
        <v>72016.5117</v>
      </c>
    </row>
    <row r="57" customFormat="false" ht="15" hidden="false" customHeight="false" outlineLevel="0" collapsed="false">
      <c r="A57" s="0" t="s">
        <v>142</v>
      </c>
      <c r="B57" s="0" t="s">
        <v>97</v>
      </c>
      <c r="C57" s="6" t="n">
        <f aca="false">C35</f>
        <v>1117.004281668</v>
      </c>
      <c r="D57" s="6" t="n">
        <f aca="false">D35+C57</f>
        <v>2234.008563336</v>
      </c>
      <c r="E57" s="6" t="n">
        <f aca="false">E35+D57</f>
        <v>3351.012845004</v>
      </c>
      <c r="F57" s="6" t="n">
        <f aca="false">F35+E57</f>
        <v>4468.017126672</v>
      </c>
      <c r="G57" s="6" t="n">
        <f aca="false">G35+F57</f>
        <v>5585.02140834</v>
      </c>
      <c r="H57" s="6" t="n">
        <f aca="false">H35+G57</f>
        <v>6702.025690008</v>
      </c>
      <c r="I57" s="6" t="n">
        <f aca="false">I35+H57</f>
        <v>7819.029971676</v>
      </c>
      <c r="J57" s="6" t="n">
        <f aca="false">J35+I57</f>
        <v>8936.034253344</v>
      </c>
      <c r="K57" s="6" t="n">
        <f aca="false">K35+J57</f>
        <v>10053.038535012</v>
      </c>
      <c r="L57" s="6" t="n">
        <f aca="false">L35+K57</f>
        <v>11170.04281668</v>
      </c>
    </row>
    <row r="58" customFormat="false" ht="15" hidden="false" customHeight="false" outlineLevel="0" collapsed="false">
      <c r="A58" s="0" t="s">
        <v>143</v>
      </c>
      <c r="B58" s="0" t="s">
        <v>97</v>
      </c>
      <c r="C58" s="6" t="n">
        <f aca="false">C38*C13</f>
        <v>1080.702</v>
      </c>
      <c r="D58" s="6" t="n">
        <f aca="false">(D38+C38)*D13</f>
        <v>2161.404</v>
      </c>
      <c r="E58" s="6" t="n">
        <f aca="false">(E38+D38)*E13</f>
        <v>2161.404</v>
      </c>
      <c r="F58" s="6" t="n">
        <f aca="false">(F38+E38)*F13</f>
        <v>2161.404</v>
      </c>
      <c r="G58" s="6" t="n">
        <f aca="false">(G38+F38)*G13</f>
        <v>2161.404</v>
      </c>
      <c r="H58" s="6" t="n">
        <f aca="false">(H38+G38)*H13</f>
        <v>2161.404</v>
      </c>
      <c r="I58" s="6" t="n">
        <f aca="false">(I38+H38)*I13</f>
        <v>2161.404</v>
      </c>
      <c r="J58" s="6" t="n">
        <f aca="false">(J38+I38)*J13</f>
        <v>2161.404</v>
      </c>
      <c r="K58" s="6" t="n">
        <f aca="false">(K38+J38)*K13</f>
        <v>2161.404</v>
      </c>
      <c r="L58" s="6" t="n">
        <f aca="false">(L38+K38)*L13</f>
        <v>2161.404</v>
      </c>
    </row>
    <row r="59" customFormat="false" ht="15" hidden="false" customHeight="false" outlineLevel="0" collapsed="false">
      <c r="A59" s="0" t="s">
        <v>144</v>
      </c>
      <c r="B59" s="0" t="s">
        <v>97</v>
      </c>
      <c r="C59" s="6" t="n">
        <f aca="false">C36</f>
        <v>2700</v>
      </c>
      <c r="D59" s="6" t="n">
        <f aca="false">C36+D36</f>
        <v>5400</v>
      </c>
      <c r="E59" s="6" t="n">
        <f aca="false">C36+D36+E36</f>
        <v>8100</v>
      </c>
      <c r="F59" s="6" t="n">
        <f aca="false">D36+E36+F36</f>
        <v>8100</v>
      </c>
      <c r="G59" s="6" t="n">
        <f aca="false">E36+F36+G36</f>
        <v>8100</v>
      </c>
      <c r="H59" s="6" t="n">
        <f aca="false">F36+G36+H36</f>
        <v>8100</v>
      </c>
      <c r="I59" s="6" t="n">
        <f aca="false">G36+H36+I36</f>
        <v>8100</v>
      </c>
      <c r="J59" s="6" t="n">
        <f aca="false">H36+I36+J36</f>
        <v>8100</v>
      </c>
      <c r="K59" s="6" t="n">
        <f aca="false">I36+J36+K36</f>
        <v>8100</v>
      </c>
      <c r="L59" s="6" t="n">
        <f aca="false">J36+K36+L36</f>
        <v>8100</v>
      </c>
    </row>
    <row r="60" customFormat="false" ht="15" hidden="false" customHeight="false" outlineLevel="0" collapsed="false">
      <c r="A60" s="0" t="s">
        <v>145</v>
      </c>
      <c r="B60" s="0" t="s">
        <v>97</v>
      </c>
      <c r="C60" s="6" t="n">
        <f aca="false">C39</f>
        <v>1297.8</v>
      </c>
      <c r="D60" s="6" t="n">
        <f aca="false">C39+D39</f>
        <v>2595.6</v>
      </c>
      <c r="E60" s="6" t="n">
        <f aca="false">C39+D39+E39</f>
        <v>3893.4</v>
      </c>
      <c r="F60" s="6" t="n">
        <f aca="false">D39+E39+F39</f>
        <v>3893.4</v>
      </c>
      <c r="G60" s="6" t="n">
        <f aca="false">E39+F39+G39</f>
        <v>3893.4</v>
      </c>
      <c r="H60" s="6" t="n">
        <f aca="false">F39+G39+H39</f>
        <v>3893.4</v>
      </c>
      <c r="I60" s="6" t="n">
        <f aca="false">G39+H39+I39</f>
        <v>3893.4</v>
      </c>
      <c r="J60" s="6" t="n">
        <f aca="false">H39+I39+J39</f>
        <v>3893.4</v>
      </c>
      <c r="K60" s="6" t="n">
        <f aca="false">I39+J39+K39</f>
        <v>3893.4</v>
      </c>
      <c r="L60" s="6" t="n">
        <f aca="false">J39+K39+L39</f>
        <v>3893.4</v>
      </c>
    </row>
    <row r="61" customFormat="false" ht="15" hidden="false" customHeight="false" outlineLevel="0" collapsed="false">
      <c r="A61" s="0" t="s">
        <v>146</v>
      </c>
      <c r="B61" s="0" t="s">
        <v>97</v>
      </c>
      <c r="C61" s="6" t="n">
        <f aca="false">SUM(C57:C60)+C32</f>
        <v>7875.506281668</v>
      </c>
      <c r="D61" s="6" t="n">
        <f aca="false">SUM(D57:D60)+D32</f>
        <v>15751.012563336</v>
      </c>
      <c r="E61" s="6" t="n">
        <f aca="false">SUM(E57:E60)+E32</f>
        <v>20865.816845004</v>
      </c>
      <c r="F61" s="6" t="n">
        <f aca="false">SUM(F57:F60)+F32</f>
        <v>21982.821126672</v>
      </c>
      <c r="G61" s="6" t="n">
        <f aca="false">SUM(G57:G60)+G32</f>
        <v>23099.82540834</v>
      </c>
      <c r="H61" s="6" t="n">
        <f aca="false">SUM(H57:H60)+H32</f>
        <v>24216.829690008</v>
      </c>
      <c r="I61" s="6" t="n">
        <f aca="false">SUM(I57:I60)+I32</f>
        <v>25333.833971676</v>
      </c>
      <c r="J61" s="6" t="n">
        <f aca="false">SUM(J57:J60)+J32</f>
        <v>26450.838253344</v>
      </c>
      <c r="K61" s="6" t="n">
        <f aca="false">SUM(K57:K60)+K32</f>
        <v>27567.842535012</v>
      </c>
      <c r="L61" s="6" t="n">
        <f aca="false">SUM(L57:L60)+L32</f>
        <v>28684.84681668</v>
      </c>
    </row>
    <row r="63" customFormat="false" ht="15" hidden="false" customHeight="false" outlineLevel="0" collapsed="false">
      <c r="A63" s="0" t="s">
        <v>147</v>
      </c>
      <c r="B63" s="0" t="s">
        <v>97</v>
      </c>
      <c r="C63" s="6" t="n">
        <f aca="false">C57</f>
        <v>1117.004281668</v>
      </c>
      <c r="D63" s="6" t="n">
        <f aca="false">D57</f>
        <v>2234.008563336</v>
      </c>
      <c r="E63" s="6" t="n">
        <f aca="false">E57</f>
        <v>3351.012845004</v>
      </c>
      <c r="F63" s="6" t="n">
        <f aca="false">F57</f>
        <v>4468.017126672</v>
      </c>
      <c r="G63" s="6" t="n">
        <f aca="false">G57</f>
        <v>5585.02140834</v>
      </c>
      <c r="H63" s="6" t="n">
        <f aca="false">H57</f>
        <v>6702.025690008</v>
      </c>
      <c r="I63" s="6" t="n">
        <f aca="false">I57</f>
        <v>7819.029971676</v>
      </c>
      <c r="J63" s="6" t="n">
        <f aca="false">J57</f>
        <v>8936.034253344</v>
      </c>
      <c r="K63" s="6" t="n">
        <f aca="false">K57</f>
        <v>10053.038535012</v>
      </c>
      <c r="L63" s="6" t="n">
        <f aca="false">L57</f>
        <v>11170.04281668</v>
      </c>
    </row>
    <row r="64" customFormat="false" ht="15" hidden="false" customHeight="false" outlineLevel="0" collapsed="false">
      <c r="A64" s="0" t="s">
        <v>148</v>
      </c>
      <c r="B64" s="0" t="s">
        <v>97</v>
      </c>
      <c r="C64" s="6" t="n">
        <f aca="false">C53-SUM(C41:C43)</f>
        <v>10918.5753458073</v>
      </c>
      <c r="D64" s="6" t="n">
        <f aca="false">D53-SUM(D41:D43)+C64</f>
        <v>23827.5849916146</v>
      </c>
      <c r="E64" s="6" t="n">
        <f aca="false">E53-SUM(E41:E43)+D64</f>
        <v>38635.6438374219</v>
      </c>
      <c r="F64" s="6" t="n">
        <f aca="false">F53-SUM(F41:F43)+E64</f>
        <v>55180.1574032291</v>
      </c>
      <c r="G64" s="6" t="n">
        <f aca="false">G53-SUM(G41:G43)+F64</f>
        <v>73129.2929290364</v>
      </c>
      <c r="H64" s="6" t="n">
        <f aca="false">H53-SUM(H41:H43)+G64</f>
        <v>92501.4174948437</v>
      </c>
      <c r="I64" s="6" t="n">
        <f aca="false">I53-SUM(I41:I43)+H64</f>
        <v>113322.222020651</v>
      </c>
      <c r="J64" s="6" t="n">
        <f aca="false">J53-SUM(J41:J43)+I64</f>
        <v>135615.524826458</v>
      </c>
      <c r="K64" s="6" t="n">
        <f aca="false">K53-SUM(K41:K43)+J64</f>
        <v>159396.910672266</v>
      </c>
      <c r="L64" s="6" t="n">
        <f aca="false">L53-SUM(L41:L43)+K64</f>
        <v>184690.778318073</v>
      </c>
    </row>
    <row r="65" customFormat="false" ht="15" hidden="false" customHeight="false" outlineLevel="0" collapsed="false">
      <c r="A65" s="0" t="s">
        <v>149</v>
      </c>
      <c r="B65" s="0" t="s">
        <v>97</v>
      </c>
      <c r="C65" s="6" t="n">
        <f aca="false">C36</f>
        <v>2700</v>
      </c>
      <c r="D65" s="6" t="n">
        <f aca="false">D36+C65</f>
        <v>5400</v>
      </c>
      <c r="E65" s="6" t="n">
        <f aca="false">E36+D65</f>
        <v>8100</v>
      </c>
      <c r="F65" s="6" t="n">
        <f aca="false">F36+E65</f>
        <v>10800</v>
      </c>
      <c r="G65" s="6" t="n">
        <f aca="false">G36+F65</f>
        <v>13500</v>
      </c>
      <c r="H65" s="6" t="n">
        <f aca="false">H36+G65</f>
        <v>16200</v>
      </c>
      <c r="I65" s="6" t="n">
        <f aca="false">I36+H65</f>
        <v>18900</v>
      </c>
      <c r="J65" s="6" t="n">
        <f aca="false">J36+I65</f>
        <v>21600</v>
      </c>
      <c r="K65" s="6" t="n">
        <f aca="false">K36+J65</f>
        <v>24300</v>
      </c>
      <c r="L65" s="6" t="n">
        <f aca="false">L36+K65</f>
        <v>27000</v>
      </c>
    </row>
    <row r="66" customFormat="false" ht="15" hidden="false" customHeight="false" outlineLevel="0" collapsed="false">
      <c r="A66" s="0" t="s">
        <v>150</v>
      </c>
      <c r="B66" s="0" t="s">
        <v>97</v>
      </c>
      <c r="C66" s="6" t="n">
        <f aca="false">SUM(C63:C65)</f>
        <v>14735.5796274753</v>
      </c>
      <c r="D66" s="6" t="n">
        <f aca="false">SUM(D63:D65)</f>
        <v>31461.5935549506</v>
      </c>
      <c r="E66" s="6" t="n">
        <f aca="false">SUM(E63:E65)</f>
        <v>50086.6566824259</v>
      </c>
      <c r="F66" s="6" t="n">
        <f aca="false">SUM(F63:F65)</f>
        <v>70448.1745299011</v>
      </c>
      <c r="G66" s="6" t="n">
        <f aca="false">SUM(G63:G65)</f>
        <v>92214.3143373764</v>
      </c>
      <c r="H66" s="6" t="n">
        <f aca="false">SUM(H63:H65)</f>
        <v>115403.443184852</v>
      </c>
      <c r="I66" s="6" t="n">
        <f aca="false">SUM(I63:I65)</f>
        <v>140041.251992327</v>
      </c>
      <c r="J66" s="6" t="n">
        <f aca="false">SUM(J63:J65)</f>
        <v>166151.559079802</v>
      </c>
      <c r="K66" s="6" t="n">
        <f aca="false">SUM(K63:K65)</f>
        <v>193749.949207278</v>
      </c>
      <c r="L66" s="6" t="n">
        <f aca="false">SUM(L63:L65)</f>
        <v>222860.821134753</v>
      </c>
    </row>
    <row r="68" customFormat="false" ht="15" hidden="false" customHeight="false" outlineLevel="0" collapsed="false">
      <c r="A68" s="3" t="s">
        <v>151</v>
      </c>
      <c r="B68" s="0" t="s">
        <v>97</v>
      </c>
      <c r="C68" s="6" t="n">
        <f aca="false">C51+C53+C55+C61+C66</f>
        <v>42459.117202319</v>
      </c>
      <c r="D68" s="6" t="n">
        <f aca="false">D51+D53+D55+D61+D66</f>
        <v>77261.3982114623</v>
      </c>
      <c r="E68" s="6" t="n">
        <f aca="false">E51+E53+E55+E61+E66</f>
        <v>113428.961820606</v>
      </c>
      <c r="F68" s="6" t="n">
        <f aca="false">F51+F53+F55+F61+F66</f>
        <v>145975.903369749</v>
      </c>
      <c r="G68" s="6" t="n">
        <f aca="false">G51+G53+G55+G61+G66</f>
        <v>179987.408618892</v>
      </c>
      <c r="H68" s="6" t="n">
        <f aca="false">H51+H53+H55+H61+H66</f>
        <v>215851.804588035</v>
      </c>
      <c r="I68" s="6" t="n">
        <f aca="false">I51+I53+I55+I61+I66</f>
        <v>253680.152237179</v>
      </c>
      <c r="J68" s="6" t="n">
        <f aca="false">J51+J53+J55+J61+J66</f>
        <v>293463.289686322</v>
      </c>
      <c r="K68" s="6" t="n">
        <f aca="false">K51+K53+K55+K61+K66</f>
        <v>335153.488735465</v>
      </c>
      <c r="L68" s="6" t="n">
        <f aca="false">L51+L53+L55+L61+L66</f>
        <v>378821.571344609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L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12" min="3" style="0" width="18"/>
  </cols>
  <sheetData>
    <row r="1" customFormat="false" ht="16.15" hidden="false" customHeight="false" outlineLevel="0" collapsed="false">
      <c r="A1" s="4" t="s">
        <v>152</v>
      </c>
    </row>
    <row r="2" customFormat="false" ht="15" hidden="false" customHeight="false" outlineLevel="0" collapsed="false">
      <c r="A2" s="2" t="s">
        <v>153</v>
      </c>
      <c r="B2" s="2" t="s">
        <v>79</v>
      </c>
      <c r="C2" s="2" t="s">
        <v>80</v>
      </c>
      <c r="D2" s="2" t="s">
        <v>81</v>
      </c>
      <c r="E2" s="2" t="s">
        <v>82</v>
      </c>
      <c r="F2" s="2" t="s">
        <v>83</v>
      </c>
      <c r="G2" s="2" t="s">
        <v>84</v>
      </c>
      <c r="H2" s="2" t="s">
        <v>85</v>
      </c>
      <c r="I2" s="2" t="s">
        <v>86</v>
      </c>
      <c r="J2" s="2" t="s">
        <v>87</v>
      </c>
      <c r="K2" s="2" t="s">
        <v>88</v>
      </c>
      <c r="L2" s="2" t="s">
        <v>89</v>
      </c>
    </row>
    <row r="3" customFormat="false" ht="15" hidden="false" customHeight="false" outlineLevel="0" collapsed="false">
      <c r="A3" s="0" t="s">
        <v>154</v>
      </c>
      <c r="B3" s="0" t="s">
        <v>155</v>
      </c>
      <c r="C3" s="5" t="n">
        <v>16579199</v>
      </c>
      <c r="D3" s="5" t="n">
        <v>33158398</v>
      </c>
      <c r="E3" s="5" t="n">
        <v>49737597</v>
      </c>
      <c r="F3" s="5" t="n">
        <v>66316796</v>
      </c>
      <c r="G3" s="5" t="n">
        <v>82895995</v>
      </c>
      <c r="H3" s="5" t="n">
        <v>99475194</v>
      </c>
      <c r="I3" s="5" t="n">
        <v>116054393</v>
      </c>
      <c r="J3" s="5" t="n">
        <v>132633592</v>
      </c>
      <c r="K3" s="5" t="n">
        <v>149212791</v>
      </c>
      <c r="L3" s="5" t="n">
        <v>165791990</v>
      </c>
    </row>
    <row r="4" customFormat="false" ht="15" hidden="false" customHeight="false" outlineLevel="0" collapsed="false">
      <c r="A4" s="0" t="s">
        <v>156</v>
      </c>
      <c r="B4" s="0" t="s">
        <v>157</v>
      </c>
      <c r="C4" s="5" t="n">
        <f aca="false">ROUND(C3/4800*1.3635,0)</f>
        <v>4710</v>
      </c>
      <c r="D4" s="5" t="n">
        <f aca="false">ROUND(D3/4800*1.3635,0)</f>
        <v>9419</v>
      </c>
      <c r="E4" s="5" t="n">
        <f aca="false">ROUND(E3/4800*1.3635,0)</f>
        <v>14129</v>
      </c>
      <c r="F4" s="5" t="n">
        <f aca="false">ROUND(F3/4800*1.3635,0)</f>
        <v>18838</v>
      </c>
      <c r="G4" s="5" t="n">
        <f aca="false">ROUND(G3/4800*1.3635,0)</f>
        <v>23548</v>
      </c>
      <c r="H4" s="5" t="n">
        <f aca="false">ROUND(H3/4800*1.3635,0)</f>
        <v>28257</v>
      </c>
      <c r="I4" s="5" t="n">
        <f aca="false">ROUND(I3/4800*1.3635,0)</f>
        <v>32967</v>
      </c>
      <c r="J4" s="5" t="n">
        <f aca="false">ROUND(J3/4800*1.3635,0)</f>
        <v>37676</v>
      </c>
      <c r="K4" s="5" t="n">
        <f aca="false">ROUND(K3/4800*1.3635,0)</f>
        <v>42386</v>
      </c>
      <c r="L4" s="5" t="n">
        <f aca="false">ROUND(L3/4800*1.3635,0)</f>
        <v>47095</v>
      </c>
    </row>
    <row r="5" customFormat="false" ht="15" hidden="false" customHeight="false" outlineLevel="0" collapsed="false">
      <c r="A5" s="0" t="s">
        <v>158</v>
      </c>
      <c r="B5" s="0" t="s">
        <v>157</v>
      </c>
      <c r="C5" s="5" t="n">
        <f aca="false">C4</f>
        <v>4710</v>
      </c>
      <c r="D5" s="5" t="n">
        <f aca="false">D4-C4</f>
        <v>4709</v>
      </c>
      <c r="E5" s="5" t="n">
        <f aca="false">E4-D4</f>
        <v>4710</v>
      </c>
      <c r="F5" s="5" t="n">
        <f aca="false">F4-E4</f>
        <v>4709</v>
      </c>
      <c r="G5" s="5" t="n">
        <f aca="false">G4-F4</f>
        <v>4710</v>
      </c>
      <c r="H5" s="5" t="n">
        <f aca="false">H4-G4</f>
        <v>4709</v>
      </c>
      <c r="I5" s="5" t="n">
        <f aca="false">I4-H4</f>
        <v>4710</v>
      </c>
      <c r="J5" s="5" t="n">
        <f aca="false">J4-I4</f>
        <v>4709</v>
      </c>
      <c r="K5" s="5" t="n">
        <f aca="false">K4-J4</f>
        <v>4710</v>
      </c>
      <c r="L5" s="5" t="n">
        <f aca="false">L4-K4</f>
        <v>4709</v>
      </c>
    </row>
    <row r="6" customFormat="false" ht="15" hidden="false" customHeight="false" outlineLevel="0" collapsed="false">
      <c r="A6" s="0" t="s">
        <v>159</v>
      </c>
      <c r="B6" s="0" t="s">
        <v>157</v>
      </c>
      <c r="C6" s="5" t="n">
        <v>0</v>
      </c>
      <c r="D6" s="5" t="n">
        <v>0</v>
      </c>
      <c r="E6" s="5" t="n">
        <v>0</v>
      </c>
      <c r="F6" s="5" t="n">
        <f aca="false">C5</f>
        <v>4710</v>
      </c>
      <c r="G6" s="5" t="n">
        <f aca="false">D5</f>
        <v>4709</v>
      </c>
      <c r="H6" s="5" t="n">
        <f aca="false">E5</f>
        <v>4710</v>
      </c>
      <c r="I6" s="5" t="n">
        <f aca="false">F5</f>
        <v>4709</v>
      </c>
      <c r="J6" s="5" t="n">
        <f aca="false">G5</f>
        <v>4710</v>
      </c>
      <c r="K6" s="5" t="n">
        <f aca="false">H5</f>
        <v>4709</v>
      </c>
      <c r="L6" s="5" t="n">
        <f aca="false">I5</f>
        <v>4710</v>
      </c>
    </row>
    <row r="7" customFormat="false" ht="15" hidden="false" customHeight="false" outlineLevel="0" collapsed="false">
      <c r="A7" s="0" t="s">
        <v>160</v>
      </c>
      <c r="B7" s="0" t="s">
        <v>157</v>
      </c>
      <c r="C7" s="5" t="n">
        <f aca="false">C5+C6</f>
        <v>4710</v>
      </c>
      <c r="D7" s="5" t="n">
        <f aca="false">D5+D6</f>
        <v>4709</v>
      </c>
      <c r="E7" s="5" t="n">
        <f aca="false">E5+E6</f>
        <v>4710</v>
      </c>
      <c r="F7" s="5" t="n">
        <f aca="false">F5+F6</f>
        <v>9419</v>
      </c>
      <c r="G7" s="5" t="n">
        <f aca="false">G5+G6</f>
        <v>9419</v>
      </c>
      <c r="H7" s="5" t="n">
        <f aca="false">H5+H6</f>
        <v>9419</v>
      </c>
      <c r="I7" s="5" t="n">
        <f aca="false">I5+I6</f>
        <v>9419</v>
      </c>
      <c r="J7" s="5" t="n">
        <f aca="false">J5+J6</f>
        <v>9419</v>
      </c>
      <c r="K7" s="5" t="n">
        <f aca="false">K5+K6</f>
        <v>9419</v>
      </c>
      <c r="L7" s="5" t="n">
        <f aca="false">L5+L6</f>
        <v>9419</v>
      </c>
    </row>
    <row r="9" customFormat="false" ht="15" hidden="false" customHeight="false" outlineLevel="0" collapsed="false">
      <c r="A9" s="0" t="s">
        <v>161</v>
      </c>
      <c r="B9" s="0" t="s">
        <v>157</v>
      </c>
      <c r="C9" s="5" t="n">
        <f aca="false">$B$99</f>
        <v>1188</v>
      </c>
      <c r="D9" s="5" t="n">
        <f aca="false">$B$99</f>
        <v>1188</v>
      </c>
      <c r="E9" s="5" t="n">
        <f aca="false">$B$99</f>
        <v>1188</v>
      </c>
      <c r="F9" s="5" t="n">
        <f aca="false">$B$99</f>
        <v>1188</v>
      </c>
      <c r="G9" s="5" t="n">
        <f aca="false">$B$99</f>
        <v>1188</v>
      </c>
      <c r="H9" s="5" t="n">
        <f aca="false">$B$99</f>
        <v>1188</v>
      </c>
      <c r="I9" s="5" t="n">
        <f aca="false">$B$99</f>
        <v>1188</v>
      </c>
      <c r="J9" s="5" t="n">
        <f aca="false">$B$99</f>
        <v>1188</v>
      </c>
      <c r="K9" s="5" t="n">
        <f aca="false">$B$99</f>
        <v>1188</v>
      </c>
      <c r="L9" s="5" t="n">
        <f aca="false">$B$99</f>
        <v>1188</v>
      </c>
    </row>
    <row r="10" customFormat="false" ht="15" hidden="false" customHeight="false" outlineLevel="0" collapsed="false">
      <c r="A10" s="0" t="s">
        <v>162</v>
      </c>
      <c r="B10" s="0" t="s">
        <v>157</v>
      </c>
      <c r="C10" s="5" t="n">
        <f aca="false">IF(COLUMN()=3,$B$99,0)</f>
        <v>1188</v>
      </c>
      <c r="D10" s="5" t="n">
        <f aca="false">IF(COLUMN()=3,$B$99,0)</f>
        <v>0</v>
      </c>
      <c r="E10" s="5" t="n">
        <f aca="false">IF(COLUMN()=3,$B$99,0)</f>
        <v>0</v>
      </c>
      <c r="F10" s="5" t="n">
        <f aca="false">IF(COLUMN()=3,$B$99,0)</f>
        <v>0</v>
      </c>
      <c r="G10" s="5" t="n">
        <f aca="false">IF(COLUMN()=3,$B$99,0)</f>
        <v>0</v>
      </c>
      <c r="H10" s="5" t="n">
        <f aca="false">IF(COLUMN()=3,$B$99,0)</f>
        <v>0</v>
      </c>
      <c r="I10" s="5" t="n">
        <f aca="false">IF(COLUMN()=3,$B$99,0)</f>
        <v>0</v>
      </c>
      <c r="J10" s="5" t="n">
        <f aca="false">IF(COLUMN()=3,$B$99,0)</f>
        <v>0</v>
      </c>
      <c r="K10" s="5" t="n">
        <f aca="false">IF(COLUMN()=3,$B$99,0)</f>
        <v>0</v>
      </c>
      <c r="L10" s="5" t="n">
        <f aca="false">IF(COLUMN()=3,$B$99,0)</f>
        <v>0</v>
      </c>
    </row>
    <row r="11" customFormat="false" ht="15" hidden="false" customHeight="false" outlineLevel="0" collapsed="false">
      <c r="A11" s="0" t="s">
        <v>163</v>
      </c>
      <c r="B11" s="0" t="s">
        <v>157</v>
      </c>
      <c r="C11" s="5" t="n">
        <f aca="false">IF(AND(COLUMN()&gt;=6,MOD(COLUMN()-3,3)=0),$B$99,0)</f>
        <v>0</v>
      </c>
      <c r="D11" s="5" t="n">
        <f aca="false">IF(AND(COLUMN()&gt;=6,MOD(COLUMN()-3,3)=0),$B$99,0)</f>
        <v>0</v>
      </c>
      <c r="E11" s="5" t="n">
        <f aca="false">IF(AND(COLUMN()&gt;=6,MOD(COLUMN()-3,3)=0),$B$99,0)</f>
        <v>0</v>
      </c>
      <c r="F11" s="5" t="n">
        <f aca="false">IF(AND(COLUMN()&gt;=6,MOD(COLUMN()-3,3)=0),$B$99,0)</f>
        <v>1188</v>
      </c>
      <c r="G11" s="5" t="n">
        <f aca="false">IF(AND(COLUMN()&gt;=6,MOD(COLUMN()-3,3)=0),$B$99,0)</f>
        <v>0</v>
      </c>
      <c r="H11" s="5" t="n">
        <f aca="false">IF(AND(COLUMN()&gt;=6,MOD(COLUMN()-3,3)=0),$B$99,0)</f>
        <v>0</v>
      </c>
      <c r="I11" s="5" t="n">
        <f aca="false">IF(AND(COLUMN()&gt;=6,MOD(COLUMN()-3,3)=0),$B$99,0)</f>
        <v>1188</v>
      </c>
      <c r="J11" s="5" t="n">
        <f aca="false">IF(AND(COLUMN()&gt;=6,MOD(COLUMN()-3,3)=0),$B$99,0)</f>
        <v>0</v>
      </c>
      <c r="K11" s="5" t="n">
        <f aca="false">IF(AND(COLUMN()&gt;=6,MOD(COLUMN()-3,3)=0),$B$99,0)</f>
        <v>0</v>
      </c>
      <c r="L11" s="5" t="n">
        <f aca="false">IF(AND(COLUMN()&gt;=6,MOD(COLUMN()-3,3)=0),$B$99,0)</f>
        <v>1188</v>
      </c>
    </row>
    <row r="12" customFormat="false" ht="15" hidden="false" customHeight="false" outlineLevel="0" collapsed="false">
      <c r="A12" s="0" t="s">
        <v>164</v>
      </c>
      <c r="B12" s="0" t="s">
        <v>157</v>
      </c>
      <c r="C12" s="5" t="n">
        <f aca="false">C10+C11</f>
        <v>1188</v>
      </c>
      <c r="D12" s="5" t="n">
        <f aca="false">D10+D11</f>
        <v>0</v>
      </c>
      <c r="E12" s="5" t="n">
        <f aca="false">E10+E11</f>
        <v>0</v>
      </c>
      <c r="F12" s="5" t="n">
        <f aca="false">F10+F11</f>
        <v>1188</v>
      </c>
      <c r="G12" s="5" t="n">
        <f aca="false">G10+G11</f>
        <v>0</v>
      </c>
      <c r="H12" s="5" t="n">
        <f aca="false">H10+H11</f>
        <v>0</v>
      </c>
      <c r="I12" s="5" t="n">
        <f aca="false">I10+I11</f>
        <v>1188</v>
      </c>
      <c r="J12" s="5" t="n">
        <f aca="false">J10+J11</f>
        <v>0</v>
      </c>
      <c r="K12" s="5" t="n">
        <f aca="false">K10+K11</f>
        <v>0</v>
      </c>
      <c r="L12" s="5" t="n">
        <f aca="false">L10+L11</f>
        <v>1188</v>
      </c>
    </row>
    <row r="14" customFormat="false" ht="15" hidden="false" customHeight="false" outlineLevel="0" collapsed="false">
      <c r="A14" s="0" t="s">
        <v>165</v>
      </c>
      <c r="B14" s="0" t="s">
        <v>157</v>
      </c>
      <c r="C14" s="5" t="n">
        <f aca="false">0.1*C4</f>
        <v>471</v>
      </c>
      <c r="D14" s="5" t="n">
        <f aca="false">0.1*D4</f>
        <v>941.9</v>
      </c>
      <c r="E14" s="5" t="n">
        <f aca="false">0.1*E4</f>
        <v>1412.9</v>
      </c>
      <c r="F14" s="5" t="n">
        <f aca="false">0.1*F4</f>
        <v>1883.8</v>
      </c>
      <c r="G14" s="5" t="n">
        <f aca="false">0.1*G4</f>
        <v>2354.8</v>
      </c>
      <c r="H14" s="5" t="n">
        <f aca="false">0.1*H4</f>
        <v>2825.7</v>
      </c>
      <c r="I14" s="5" t="n">
        <f aca="false">0.1*I4</f>
        <v>3296.7</v>
      </c>
      <c r="J14" s="5" t="n">
        <f aca="false">0.1*J4</f>
        <v>3767.6</v>
      </c>
      <c r="K14" s="5" t="n">
        <f aca="false">0.1*K4</f>
        <v>4238.6</v>
      </c>
      <c r="L14" s="5" t="n">
        <f aca="false">0.1*L4</f>
        <v>4709.5</v>
      </c>
    </row>
    <row r="15" customFormat="false" ht="15" hidden="false" customHeight="false" outlineLevel="0" collapsed="false">
      <c r="A15" s="0" t="s">
        <v>166</v>
      </c>
      <c r="B15" s="0" t="s">
        <v>157</v>
      </c>
      <c r="C15" s="5" t="n">
        <f aca="false">C14</f>
        <v>471</v>
      </c>
      <c r="D15" s="5" t="n">
        <f aca="false">D14-C14</f>
        <v>470.9</v>
      </c>
      <c r="E15" s="5" t="n">
        <f aca="false">E14-D14</f>
        <v>471</v>
      </c>
      <c r="F15" s="5" t="n">
        <f aca="false">F14-E14</f>
        <v>470.9</v>
      </c>
      <c r="G15" s="5" t="n">
        <f aca="false">G14-F14</f>
        <v>471</v>
      </c>
      <c r="H15" s="5" t="n">
        <f aca="false">H14-G14</f>
        <v>470.9</v>
      </c>
      <c r="I15" s="5" t="n">
        <f aca="false">I14-H14</f>
        <v>471</v>
      </c>
      <c r="J15" s="5" t="n">
        <f aca="false">J14-I14</f>
        <v>470.9</v>
      </c>
      <c r="K15" s="5" t="n">
        <f aca="false">K14-J14</f>
        <v>471</v>
      </c>
      <c r="L15" s="5" t="n">
        <f aca="false">L14-K14</f>
        <v>470.9</v>
      </c>
    </row>
    <row r="16" customFormat="false" ht="15" hidden="false" customHeight="false" outlineLevel="0" collapsed="false">
      <c r="A16" s="0" t="s">
        <v>167</v>
      </c>
      <c r="B16" s="0" t="s">
        <v>157</v>
      </c>
      <c r="C16" s="5" t="n">
        <v>0</v>
      </c>
      <c r="D16" s="5" t="n">
        <v>0</v>
      </c>
      <c r="E16" s="5" t="n">
        <v>0</v>
      </c>
      <c r="F16" s="5" t="n">
        <f aca="false">C15</f>
        <v>471</v>
      </c>
      <c r="G16" s="5" t="n">
        <f aca="false">D15</f>
        <v>470.9</v>
      </c>
      <c r="H16" s="5" t="n">
        <f aca="false">E15</f>
        <v>471</v>
      </c>
      <c r="I16" s="5" t="n">
        <f aca="false">F15</f>
        <v>470.9</v>
      </c>
      <c r="J16" s="5" t="n">
        <f aca="false">G15</f>
        <v>471</v>
      </c>
      <c r="K16" s="5" t="n">
        <f aca="false">H15</f>
        <v>470.9</v>
      </c>
      <c r="L16" s="5" t="n">
        <f aca="false">I15</f>
        <v>471</v>
      </c>
    </row>
    <row r="17" customFormat="false" ht="15" hidden="false" customHeight="false" outlineLevel="0" collapsed="false">
      <c r="A17" s="0" t="s">
        <v>168</v>
      </c>
      <c r="B17" s="0" t="s">
        <v>157</v>
      </c>
      <c r="C17" s="5" t="n">
        <f aca="false">C15+C16</f>
        <v>471</v>
      </c>
      <c r="D17" s="5" t="n">
        <f aca="false">D15+D16</f>
        <v>470.9</v>
      </c>
      <c r="E17" s="5" t="n">
        <f aca="false">E15+E16</f>
        <v>471</v>
      </c>
      <c r="F17" s="5" t="n">
        <f aca="false">F15+F16</f>
        <v>941.9</v>
      </c>
      <c r="G17" s="5" t="n">
        <f aca="false">G15+G16</f>
        <v>941.9</v>
      </c>
      <c r="H17" s="5" t="n">
        <f aca="false">H15+H16</f>
        <v>941.9</v>
      </c>
      <c r="I17" s="5" t="n">
        <f aca="false">I15+I16</f>
        <v>941.9</v>
      </c>
      <c r="J17" s="5" t="n">
        <f aca="false">J15+J16</f>
        <v>941.9</v>
      </c>
      <c r="K17" s="5" t="n">
        <f aca="false">K15+K16</f>
        <v>941.9</v>
      </c>
      <c r="L17" s="5" t="n">
        <f aca="false">L15+L16</f>
        <v>941.9</v>
      </c>
    </row>
    <row r="18" customFormat="false" ht="15" hidden="false" customHeight="false" outlineLevel="0" collapsed="false">
      <c r="A18" s="0" t="s">
        <v>169</v>
      </c>
      <c r="B18" s="0" t="s">
        <v>157</v>
      </c>
      <c r="C18" s="5" t="n">
        <f aca="false">0.1*C14</f>
        <v>47.1</v>
      </c>
      <c r="D18" s="5" t="n">
        <f aca="false">0.1*D14</f>
        <v>94.19</v>
      </c>
      <c r="E18" s="5" t="n">
        <f aca="false">0.1*E14</f>
        <v>141.29</v>
      </c>
      <c r="F18" s="5" t="n">
        <f aca="false">0.1*F14</f>
        <v>188.38</v>
      </c>
      <c r="G18" s="5" t="n">
        <f aca="false">0.1*G14</f>
        <v>235.48</v>
      </c>
      <c r="H18" s="5" t="n">
        <f aca="false">0.1*H14</f>
        <v>282.57</v>
      </c>
      <c r="I18" s="5" t="n">
        <f aca="false">0.1*I14</f>
        <v>329.67</v>
      </c>
      <c r="J18" s="5" t="n">
        <f aca="false">0.1*J14</f>
        <v>376.76</v>
      </c>
      <c r="K18" s="5" t="n">
        <f aca="false">0.1*K14</f>
        <v>423.86</v>
      </c>
      <c r="L18" s="5" t="n">
        <f aca="false">0.1*L14</f>
        <v>470.95</v>
      </c>
    </row>
    <row r="19" customFormat="false" ht="15" hidden="false" customHeight="false" outlineLevel="0" collapsed="false">
      <c r="A19" s="0" t="s">
        <v>170</v>
      </c>
      <c r="B19" s="0" t="s">
        <v>157</v>
      </c>
      <c r="C19" s="5" t="n">
        <f aca="false">C18</f>
        <v>47.1</v>
      </c>
      <c r="D19" s="5" t="n">
        <f aca="false">D18-C18</f>
        <v>47.09</v>
      </c>
      <c r="E19" s="5" t="n">
        <f aca="false">E18-D18</f>
        <v>47.1</v>
      </c>
      <c r="F19" s="5" t="n">
        <f aca="false">F18-E18</f>
        <v>47.09</v>
      </c>
      <c r="G19" s="5" t="n">
        <f aca="false">G18-F18</f>
        <v>47.1</v>
      </c>
      <c r="H19" s="5" t="n">
        <f aca="false">H18-G18</f>
        <v>47.09</v>
      </c>
      <c r="I19" s="5" t="n">
        <f aca="false">I18-H18</f>
        <v>47.1</v>
      </c>
      <c r="J19" s="5" t="n">
        <f aca="false">J18-I18</f>
        <v>47.09</v>
      </c>
      <c r="K19" s="5" t="n">
        <f aca="false">K18-J18</f>
        <v>47.1</v>
      </c>
      <c r="L19" s="5" t="n">
        <f aca="false">L18-K18</f>
        <v>47.09</v>
      </c>
    </row>
    <row r="20" customFormat="false" ht="15" hidden="false" customHeight="false" outlineLevel="0" collapsed="false">
      <c r="A20" s="0" t="s">
        <v>171</v>
      </c>
      <c r="B20" s="0" t="s">
        <v>157</v>
      </c>
      <c r="C20" s="5" t="n">
        <v>0</v>
      </c>
      <c r="D20" s="5" t="n">
        <v>0</v>
      </c>
      <c r="E20" s="5" t="n">
        <v>0</v>
      </c>
      <c r="F20" s="5" t="n">
        <f aca="false">C19</f>
        <v>47.1</v>
      </c>
      <c r="G20" s="5" t="n">
        <f aca="false">D19</f>
        <v>47.09</v>
      </c>
      <c r="H20" s="5" t="n">
        <f aca="false">E19</f>
        <v>47.1</v>
      </c>
      <c r="I20" s="5" t="n">
        <f aca="false">F19</f>
        <v>47.09</v>
      </c>
      <c r="J20" s="5" t="n">
        <f aca="false">G19</f>
        <v>47.1</v>
      </c>
      <c r="K20" s="5" t="n">
        <f aca="false">H19</f>
        <v>47.09</v>
      </c>
      <c r="L20" s="5" t="n">
        <f aca="false">I19</f>
        <v>47.1</v>
      </c>
    </row>
    <row r="21" customFormat="false" ht="15" hidden="false" customHeight="false" outlineLevel="0" collapsed="false">
      <c r="A21" s="0" t="s">
        <v>172</v>
      </c>
      <c r="B21" s="0" t="s">
        <v>157</v>
      </c>
      <c r="C21" s="5" t="n">
        <f aca="false">C19+C20</f>
        <v>47.1</v>
      </c>
      <c r="D21" s="5" t="n">
        <f aca="false">D19+D20</f>
        <v>47.09</v>
      </c>
      <c r="E21" s="5" t="n">
        <f aca="false">E19+E20</f>
        <v>47.1</v>
      </c>
      <c r="F21" s="5" t="n">
        <f aca="false">F19+F20</f>
        <v>94.19</v>
      </c>
      <c r="G21" s="5" t="n">
        <f aca="false">G19+G20</f>
        <v>94.19</v>
      </c>
      <c r="H21" s="5" t="n">
        <f aca="false">H19+H20</f>
        <v>94.19</v>
      </c>
      <c r="I21" s="5" t="n">
        <f aca="false">I19+I20</f>
        <v>94.19</v>
      </c>
      <c r="J21" s="5" t="n">
        <f aca="false">J19+J20</f>
        <v>94.19</v>
      </c>
      <c r="K21" s="5" t="n">
        <f aca="false">K19+K20</f>
        <v>94.1900000000001</v>
      </c>
      <c r="L21" s="5" t="n">
        <f aca="false">L19+L20</f>
        <v>94.19</v>
      </c>
    </row>
    <row r="23" customFormat="false" ht="15" hidden="false" customHeight="false" outlineLevel="0" collapsed="false">
      <c r="A23" s="0" t="s">
        <v>173</v>
      </c>
      <c r="B23" s="0" t="s">
        <v>174</v>
      </c>
      <c r="C23" s="6" t="n">
        <v>43.2</v>
      </c>
      <c r="D23" s="6" t="n">
        <v>43.2</v>
      </c>
      <c r="E23" s="6" t="n">
        <v>86.4</v>
      </c>
      <c r="F23" s="6" t="n">
        <v>86.4</v>
      </c>
      <c r="G23" s="6" t="n">
        <v>86.4</v>
      </c>
      <c r="H23" s="6" t="n">
        <v>86.4</v>
      </c>
      <c r="I23" s="6" t="n">
        <v>172.8</v>
      </c>
      <c r="J23" s="6" t="n">
        <v>172.8</v>
      </c>
      <c r="K23" s="6" t="n">
        <v>172.8</v>
      </c>
      <c r="L23" s="6" t="n">
        <v>172.8</v>
      </c>
    </row>
    <row r="24" customFormat="false" ht="15" hidden="false" customHeight="false" outlineLevel="0" collapsed="false">
      <c r="A24" s="0" t="s">
        <v>175</v>
      </c>
      <c r="B24" s="0" t="s">
        <v>176</v>
      </c>
      <c r="C24" s="5" t="n">
        <f aca="false">CEILING('Ops Storage'!C55/C23,1)</f>
        <v>82</v>
      </c>
      <c r="D24" s="5" t="n">
        <f aca="false">CEILING('Ops Storage'!D55/D23,1)</f>
        <v>215</v>
      </c>
      <c r="E24" s="5" t="n">
        <f aca="false">CEILING('Ops Storage'!E55/E23,1)</f>
        <v>200</v>
      </c>
      <c r="F24" s="5" t="n">
        <f aca="false">CEILING('Ops Storage'!F55/F23,1)</f>
        <v>280</v>
      </c>
      <c r="G24" s="5" t="n">
        <f aca="false">CEILING('Ops Storage'!G55/G23,1)</f>
        <v>362</v>
      </c>
      <c r="H24" s="5" t="n">
        <f aca="false">CEILING('Ops Storage'!H55/H23,1)</f>
        <v>449</v>
      </c>
      <c r="I24" s="5" t="n">
        <f aca="false">CEILING('Ops Storage'!I55/I23,1)</f>
        <v>270</v>
      </c>
      <c r="J24" s="5" t="n">
        <f aca="false">CEILING('Ops Storage'!J55/J23,1)</f>
        <v>317</v>
      </c>
      <c r="K24" s="5" t="n">
        <f aca="false">CEILING('Ops Storage'!K55/K23,1)</f>
        <v>366</v>
      </c>
      <c r="L24" s="5" t="n">
        <f aca="false">CEILING('Ops Storage'!L55/L23,1)</f>
        <v>417</v>
      </c>
    </row>
    <row r="25" customFormat="false" ht="15" hidden="false" customHeight="false" outlineLevel="0" collapsed="false">
      <c r="A25" s="0" t="s">
        <v>177</v>
      </c>
      <c r="B25" s="0" t="s">
        <v>176</v>
      </c>
      <c r="C25" s="5" t="n">
        <f aca="false">C24</f>
        <v>82</v>
      </c>
      <c r="D25" s="5" t="n">
        <f aca="false">D24-C24</f>
        <v>133</v>
      </c>
      <c r="E25" s="5" t="n">
        <f aca="false">E24-D24</f>
        <v>-15</v>
      </c>
      <c r="F25" s="5" t="n">
        <f aca="false">F24-E24</f>
        <v>80</v>
      </c>
      <c r="G25" s="5" t="n">
        <f aca="false">G24-F24</f>
        <v>82</v>
      </c>
      <c r="H25" s="5" t="n">
        <f aca="false">H24-G24</f>
        <v>87</v>
      </c>
      <c r="I25" s="5" t="n">
        <f aca="false">I24-H24</f>
        <v>-179</v>
      </c>
      <c r="J25" s="5" t="n">
        <f aca="false">J24-I24</f>
        <v>47</v>
      </c>
      <c r="K25" s="5" t="n">
        <f aca="false">K24-J24</f>
        <v>49</v>
      </c>
      <c r="L25" s="5" t="n">
        <f aca="false">L24-K24</f>
        <v>51</v>
      </c>
    </row>
    <row r="26" customFormat="false" ht="15" hidden="false" customHeight="false" outlineLevel="0" collapsed="false">
      <c r="A26" s="0" t="s">
        <v>178</v>
      </c>
      <c r="B26" s="0" t="s">
        <v>176</v>
      </c>
      <c r="C26" s="5" t="n">
        <v>0</v>
      </c>
      <c r="D26" s="5" t="n">
        <v>0</v>
      </c>
      <c r="E26" s="5" t="n">
        <v>0</v>
      </c>
      <c r="F26" s="5" t="n">
        <f aca="false">C25</f>
        <v>82</v>
      </c>
      <c r="G26" s="5" t="n">
        <f aca="false">D25</f>
        <v>133</v>
      </c>
      <c r="H26" s="5" t="n">
        <f aca="false">E25</f>
        <v>-15</v>
      </c>
      <c r="I26" s="5" t="n">
        <f aca="false">F25</f>
        <v>80</v>
      </c>
      <c r="J26" s="5" t="n">
        <f aca="false">G25</f>
        <v>82</v>
      </c>
      <c r="K26" s="5" t="n">
        <f aca="false">H25</f>
        <v>87</v>
      </c>
      <c r="L26" s="5" t="n">
        <f aca="false">I25</f>
        <v>-179</v>
      </c>
    </row>
    <row r="27" customFormat="false" ht="15" hidden="false" customHeight="false" outlineLevel="0" collapsed="false">
      <c r="A27" s="0" t="s">
        <v>179</v>
      </c>
      <c r="B27" s="0" t="s">
        <v>176</v>
      </c>
      <c r="C27" s="5" t="n">
        <f aca="false">C25+C26</f>
        <v>82</v>
      </c>
      <c r="D27" s="5" t="n">
        <f aca="false">D25+D26</f>
        <v>133</v>
      </c>
      <c r="E27" s="5" t="n">
        <f aca="false">E25+E26</f>
        <v>-15</v>
      </c>
      <c r="F27" s="5" t="n">
        <f aca="false">F25+F26</f>
        <v>162</v>
      </c>
      <c r="G27" s="5" t="n">
        <f aca="false">G25+G26</f>
        <v>215</v>
      </c>
      <c r="H27" s="5" t="n">
        <f aca="false">H25+H26</f>
        <v>72</v>
      </c>
      <c r="I27" s="5" t="n">
        <f aca="false">I25+I26</f>
        <v>-99</v>
      </c>
      <c r="J27" s="5" t="n">
        <f aca="false">J25+J26</f>
        <v>129</v>
      </c>
      <c r="K27" s="5" t="n">
        <f aca="false">K25+K26</f>
        <v>136</v>
      </c>
      <c r="L27" s="5" t="n">
        <f aca="false">L25+L26</f>
        <v>-128</v>
      </c>
    </row>
    <row r="29" customFormat="false" ht="15" hidden="false" customHeight="false" outlineLevel="0" collapsed="false">
      <c r="A29" s="0" t="s">
        <v>44</v>
      </c>
      <c r="B29" s="0" t="s">
        <v>176</v>
      </c>
      <c r="C29" s="5" t="n">
        <v>2</v>
      </c>
      <c r="D29" s="5" t="n">
        <v>2</v>
      </c>
      <c r="E29" s="5" t="n">
        <v>2</v>
      </c>
      <c r="F29" s="5" t="n">
        <v>2</v>
      </c>
      <c r="G29" s="5" t="n">
        <v>2</v>
      </c>
      <c r="H29" s="5" t="n">
        <v>2</v>
      </c>
      <c r="I29" s="5" t="n">
        <v>2</v>
      </c>
      <c r="J29" s="5" t="n">
        <v>2</v>
      </c>
      <c r="K29" s="5" t="n">
        <v>2</v>
      </c>
      <c r="L29" s="5" t="n">
        <v>2</v>
      </c>
    </row>
    <row r="31" customFormat="false" ht="15" hidden="false" customHeight="false" outlineLevel="0" collapsed="false">
      <c r="A31" s="0" t="s">
        <v>180</v>
      </c>
      <c r="B31" s="0" t="s">
        <v>176</v>
      </c>
      <c r="C31" s="5" t="n">
        <v>75</v>
      </c>
      <c r="D31" s="5" t="n">
        <v>75</v>
      </c>
      <c r="E31" s="5" t="n">
        <v>75</v>
      </c>
      <c r="F31" s="5" t="n">
        <v>75</v>
      </c>
      <c r="G31" s="5" t="n">
        <v>75</v>
      </c>
      <c r="H31" s="5" t="n">
        <v>75</v>
      </c>
      <c r="I31" s="5" t="n">
        <v>75</v>
      </c>
      <c r="J31" s="5" t="n">
        <v>75</v>
      </c>
      <c r="K31" s="5" t="n">
        <v>75</v>
      </c>
      <c r="L31" s="5" t="n">
        <v>75</v>
      </c>
    </row>
    <row r="33" customFormat="false" ht="15" hidden="false" customHeight="false" outlineLevel="0" collapsed="false">
      <c r="A33" s="0" t="s">
        <v>181</v>
      </c>
      <c r="B33" s="0" t="s">
        <v>182</v>
      </c>
      <c r="C33" s="0" t="n">
        <f aca="false">C14/'Ops Storage'!C8</f>
        <v>0.0942</v>
      </c>
      <c r="D33" s="0" t="n">
        <f aca="false">D14/'Ops Storage'!D8</f>
        <v>0.156983333333333</v>
      </c>
      <c r="E33" s="0" t="n">
        <f aca="false">E14/'Ops Storage'!E8</f>
        <v>0.201842857142857</v>
      </c>
      <c r="F33" s="0" t="n">
        <f aca="false">F14/'Ops Storage'!F8</f>
        <v>0.251173333333333</v>
      </c>
      <c r="G33" s="0" t="n">
        <f aca="false">G14/'Ops Storage'!G8</f>
        <v>0.313973333333333</v>
      </c>
      <c r="H33" s="0" t="n">
        <f aca="false">H14/'Ops Storage'!H8</f>
        <v>0.37676</v>
      </c>
      <c r="I33" s="0" t="n">
        <f aca="false">I14/'Ops Storage'!I8</f>
        <v>0.43956</v>
      </c>
      <c r="J33" s="0" t="n">
        <f aca="false">J14/'Ops Storage'!J8</f>
        <v>0.502346666666667</v>
      </c>
      <c r="K33" s="0" t="n">
        <f aca="false">K14/'Ops Storage'!K8</f>
        <v>0.565146666666667</v>
      </c>
      <c r="L33" s="0" t="n">
        <f aca="false">L14/'Ops Storage'!L8</f>
        <v>0.627933333333333</v>
      </c>
    </row>
    <row r="34" customFormat="false" ht="15" hidden="false" customHeight="false" outlineLevel="0" collapsed="false">
      <c r="A34" s="3" t="s">
        <v>183</v>
      </c>
      <c r="B34" s="0" t="s">
        <v>157</v>
      </c>
      <c r="C34" s="5" t="n">
        <f aca="false">C7+C17+C21</f>
        <v>5228.1</v>
      </c>
      <c r="D34" s="5" t="n">
        <f aca="false">D7+D17+D21</f>
        <v>5226.99</v>
      </c>
      <c r="E34" s="5" t="n">
        <f aca="false">E7+E17+E21</f>
        <v>5228.1</v>
      </c>
      <c r="F34" s="5" t="n">
        <f aca="false">F7+F17+F21</f>
        <v>10455.09</v>
      </c>
      <c r="G34" s="5" t="n">
        <f aca="false">G7+G17+G21</f>
        <v>10455.09</v>
      </c>
      <c r="H34" s="5" t="n">
        <f aca="false">H7+H17+H21</f>
        <v>10455.09</v>
      </c>
      <c r="I34" s="5" t="n">
        <f aca="false">I7+I17+I21</f>
        <v>10455.09</v>
      </c>
      <c r="J34" s="5" t="n">
        <f aca="false">J7+J17+J21</f>
        <v>10455.09</v>
      </c>
      <c r="K34" s="5" t="n">
        <f aca="false">K7+K17+K21</f>
        <v>10455.09</v>
      </c>
      <c r="L34" s="5" t="n">
        <f aca="false">L7+L17+L21</f>
        <v>10455.09</v>
      </c>
    </row>
    <row r="35" customFormat="false" ht="15" hidden="false" customHeight="false" outlineLevel="0" collapsed="false">
      <c r="A35" s="0" t="s">
        <v>184</v>
      </c>
      <c r="B35" s="0" t="s">
        <v>176</v>
      </c>
      <c r="C35" s="5" t="n">
        <f aca="false">ROUNDUP(C34/120,0)</f>
        <v>44</v>
      </c>
      <c r="D35" s="5" t="n">
        <f aca="false">ROUNDUP(D34/120,0)</f>
        <v>44</v>
      </c>
      <c r="E35" s="5" t="n">
        <f aca="false">ROUNDUP(E34/120,0)</f>
        <v>44</v>
      </c>
      <c r="F35" s="5" t="n">
        <f aca="false">ROUNDUP(F34/120,0)</f>
        <v>88</v>
      </c>
      <c r="G35" s="5" t="n">
        <f aca="false">ROUNDUP(G34/120,0)</f>
        <v>88</v>
      </c>
      <c r="H35" s="5" t="n">
        <f aca="false">ROUNDUP(H34/120,0)</f>
        <v>88</v>
      </c>
      <c r="I35" s="5" t="n">
        <f aca="false">ROUNDUP(I34/120,0)</f>
        <v>88</v>
      </c>
      <c r="J35" s="5" t="n">
        <f aca="false">ROUNDUP(J34/120,0)</f>
        <v>88</v>
      </c>
      <c r="K35" s="5" t="n">
        <f aca="false">ROUNDUP(K34/120,0)</f>
        <v>88</v>
      </c>
      <c r="L35" s="5" t="n">
        <f aca="false">ROUNDUP(L34/120,0)</f>
        <v>88</v>
      </c>
    </row>
    <row r="36" customFormat="false" ht="15" hidden="false" customHeight="false" outlineLevel="0" collapsed="false">
      <c r="A36" s="0" t="s">
        <v>185</v>
      </c>
      <c r="B36" s="0" t="s">
        <v>157</v>
      </c>
      <c r="C36" s="5" t="n">
        <f aca="false">17400+C34</f>
        <v>22628.1</v>
      </c>
      <c r="D36" s="5" t="n">
        <f aca="false">C36+D34</f>
        <v>27855.09</v>
      </c>
      <c r="E36" s="5" t="n">
        <f aca="false">D36+E34</f>
        <v>33083.19</v>
      </c>
      <c r="F36" s="5" t="n">
        <f aca="false">E36+F34</f>
        <v>43538.28</v>
      </c>
      <c r="G36" s="5" t="n">
        <f aca="false">F36+G34</f>
        <v>53993.37</v>
      </c>
      <c r="H36" s="5" t="n">
        <f aca="false">G36+H34</f>
        <v>64448.46</v>
      </c>
      <c r="I36" s="5" t="n">
        <f aca="false">H36+I34</f>
        <v>74903.55</v>
      </c>
      <c r="J36" s="5" t="n">
        <f aca="false">I36+J34</f>
        <v>85358.64</v>
      </c>
      <c r="K36" s="5" t="n">
        <f aca="false">J36+K34</f>
        <v>95813.73</v>
      </c>
      <c r="L36" s="5" t="n">
        <f aca="false">K36+L34</f>
        <v>106268.82</v>
      </c>
    </row>
    <row r="99" customFormat="false" ht="15" hidden="false" customHeight="false" outlineLevel="0" collapsed="false">
      <c r="A99" s="7" t="s">
        <v>186</v>
      </c>
      <c r="B99" s="5" t="n">
        <v>1188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5" min="2" style="0" width="18"/>
    <col collapsed="false" customWidth="true" hidden="false" outlineLevel="0" max="7" min="6" style="0" width="14"/>
  </cols>
  <sheetData>
    <row r="1" customFormat="false" ht="16.15" hidden="false" customHeight="false" outlineLevel="0" collapsed="false">
      <c r="A1" s="4" t="s">
        <v>187</v>
      </c>
    </row>
    <row r="2" customFormat="false" ht="15" hidden="false" customHeight="false" outlineLevel="0" collapsed="false">
      <c r="A2" s="2" t="s">
        <v>188</v>
      </c>
      <c r="B2" s="2" t="s">
        <v>189</v>
      </c>
      <c r="C2" s="2" t="s">
        <v>190</v>
      </c>
      <c r="D2" s="2" t="s">
        <v>191</v>
      </c>
      <c r="E2" s="2" t="s">
        <v>192</v>
      </c>
      <c r="F2" s="2" t="s">
        <v>193</v>
      </c>
    </row>
    <row r="3" customFormat="false" ht="15" hidden="false" customHeight="false" outlineLevel="0" collapsed="false">
      <c r="A3" s="0" t="s">
        <v>194</v>
      </c>
      <c r="B3" s="0" t="n">
        <v>120</v>
      </c>
      <c r="C3" s="0" t="n">
        <v>480</v>
      </c>
      <c r="D3" s="0" t="n">
        <v>120</v>
      </c>
      <c r="E3" s="8" t="n">
        <v>11800</v>
      </c>
      <c r="F3" s="0" t="s">
        <v>195</v>
      </c>
    </row>
    <row r="4" customFormat="false" ht="15" hidden="false" customHeight="false" outlineLevel="0" collapsed="false">
      <c r="A4" s="0" t="s">
        <v>196</v>
      </c>
      <c r="B4" s="0" t="n">
        <v>120</v>
      </c>
      <c r="C4" s="0" t="n">
        <v>720</v>
      </c>
      <c r="D4" s="0" t="n">
        <v>120</v>
      </c>
      <c r="E4" s="8" t="n">
        <v>16000</v>
      </c>
      <c r="F4" s="0" t="s">
        <v>197</v>
      </c>
    </row>
    <row r="5" customFormat="false" ht="15" hidden="false" customHeight="false" outlineLevel="0" collapsed="false">
      <c r="A5" s="0" t="s">
        <v>198</v>
      </c>
      <c r="B5" s="0" t="n">
        <v>48</v>
      </c>
      <c r="C5" s="0" t="n">
        <v>256</v>
      </c>
      <c r="D5" s="0" t="n">
        <v>27</v>
      </c>
      <c r="E5" s="8" t="n">
        <v>8000</v>
      </c>
      <c r="F5" s="0" t="s">
        <v>199</v>
      </c>
    </row>
    <row r="6" customFormat="false" ht="15" hidden="false" customHeight="false" outlineLevel="0" collapsed="false">
      <c r="A6" s="0" t="s">
        <v>200</v>
      </c>
      <c r="B6" s="0" t="n">
        <v>32</v>
      </c>
      <c r="C6" s="0" t="n">
        <v>256</v>
      </c>
      <c r="D6" s="0" t="n">
        <v>32</v>
      </c>
      <c r="E6" s="8" t="n">
        <v>20000</v>
      </c>
      <c r="F6" s="0" t="s">
        <v>201</v>
      </c>
    </row>
    <row r="7" customFormat="false" ht="15" hidden="false" customHeight="false" outlineLevel="0" collapsed="false">
      <c r="A7" s="0" t="s">
        <v>202</v>
      </c>
      <c r="B7" s="0" t="n">
        <v>128</v>
      </c>
      <c r="C7" s="0" t="n">
        <v>512</v>
      </c>
      <c r="D7" s="0" t="n">
        <v>128</v>
      </c>
      <c r="E7" s="8" t="n">
        <v>250000</v>
      </c>
      <c r="F7" s="0" t="s">
        <v>203</v>
      </c>
    </row>
    <row r="9" customFormat="false" ht="16.15" hidden="false" customHeight="false" outlineLevel="0" collapsed="false">
      <c r="A9" s="4" t="s">
        <v>204</v>
      </c>
    </row>
    <row r="10" customFormat="false" ht="15" hidden="false" customHeight="false" outlineLevel="0" collapsed="false">
      <c r="A10" s="2" t="s">
        <v>205</v>
      </c>
      <c r="B10" s="2" t="s">
        <v>206</v>
      </c>
    </row>
    <row r="11" customFormat="false" ht="15" hidden="false" customHeight="false" outlineLevel="0" collapsed="false">
      <c r="A11" s="0" t="s">
        <v>207</v>
      </c>
      <c r="B11" s="8" t="n">
        <v>320</v>
      </c>
    </row>
    <row r="12" customFormat="false" ht="15" hidden="false" customHeight="false" outlineLevel="0" collapsed="false">
      <c r="A12" s="0" t="s">
        <v>208</v>
      </c>
      <c r="B12" s="8" t="n">
        <v>56</v>
      </c>
    </row>
    <row r="13" customFormat="false" ht="15" hidden="false" customHeight="false" outlineLevel="0" collapsed="false">
      <c r="A13" s="0" t="s">
        <v>69</v>
      </c>
      <c r="B13" s="8" t="n">
        <v>36</v>
      </c>
    </row>
    <row r="14" customFormat="false" ht="15" hidden="false" customHeight="false" outlineLevel="0" collapsed="false">
      <c r="A14" s="0" t="s">
        <v>70</v>
      </c>
      <c r="B14" s="8" t="n">
        <v>12.5</v>
      </c>
    </row>
    <row r="17" customFormat="false" ht="16.15" hidden="false" customHeight="false" outlineLevel="0" collapsed="false">
      <c r="A17" s="4" t="s">
        <v>209</v>
      </c>
    </row>
    <row r="18" customFormat="false" ht="15" hidden="false" customHeight="false" outlineLevel="0" collapsed="false">
      <c r="A18" s="2" t="s">
        <v>1</v>
      </c>
      <c r="B18" s="2" t="s">
        <v>2</v>
      </c>
      <c r="C18" s="2" t="s">
        <v>210</v>
      </c>
    </row>
    <row r="19" customFormat="false" ht="15" hidden="false" customHeight="false" outlineLevel="0" collapsed="false">
      <c r="A19" s="0" t="s">
        <v>211</v>
      </c>
      <c r="B19" s="0" t="n">
        <v>0</v>
      </c>
      <c r="C19" s="0" t="n">
        <f aca="false">1-B19</f>
        <v>1</v>
      </c>
    </row>
    <row r="20" customFormat="false" ht="15" hidden="false" customHeight="false" outlineLevel="0" collapsed="false">
      <c r="A20" s="0" t="s">
        <v>212</v>
      </c>
      <c r="B20" s="0" t="n">
        <v>0</v>
      </c>
      <c r="C20" s="0" t="n">
        <f aca="false">1-B20</f>
        <v>1</v>
      </c>
    </row>
    <row r="21" customFormat="false" ht="15" hidden="false" customHeight="false" outlineLevel="0" collapsed="false">
      <c r="A21" s="0" t="s">
        <v>213</v>
      </c>
      <c r="B21" s="0" t="n">
        <v>0</v>
      </c>
      <c r="C21" s="0" t="n">
        <f aca="false">1-B21</f>
        <v>1</v>
      </c>
    </row>
    <row r="22" customFormat="false" ht="15" hidden="false" customHeight="false" outlineLevel="0" collapsed="false">
      <c r="A22" s="0" t="s">
        <v>214</v>
      </c>
      <c r="B22" s="0" t="n">
        <v>2026</v>
      </c>
    </row>
    <row r="23" customFormat="false" ht="15" hidden="false" customHeight="false" outlineLevel="0" collapsed="false">
      <c r="A23" s="0" t="s">
        <v>72</v>
      </c>
      <c r="B23" s="0" t="n">
        <v>3</v>
      </c>
    </row>
    <row r="24" customFormat="false" ht="15" hidden="false" customHeight="false" outlineLevel="0" collapsed="false">
      <c r="A24" s="0" t="s">
        <v>73</v>
      </c>
      <c r="B24" s="0" t="n">
        <v>5</v>
      </c>
    </row>
    <row r="27" customFormat="false" ht="16.15" hidden="false" customHeight="false" outlineLevel="0" collapsed="false">
      <c r="A27" s="4" t="s">
        <v>215</v>
      </c>
    </row>
    <row r="28" customFormat="false" ht="15" hidden="false" customHeight="false" outlineLevel="0" collapsed="false">
      <c r="A28" s="0" t="s">
        <v>216</v>
      </c>
      <c r="B28" s="0" t="n">
        <v>36</v>
      </c>
    </row>
    <row r="29" customFormat="false" ht="15" hidden="false" customHeight="false" outlineLevel="0" collapsed="false">
      <c r="A29" s="0" t="s">
        <v>217</v>
      </c>
      <c r="B29" s="8" t="n">
        <v>24000</v>
      </c>
    </row>
    <row r="30" customFormat="false" ht="15" hidden="false" customHeight="false" outlineLevel="0" collapsed="false">
      <c r="A30" s="0" t="s">
        <v>218</v>
      </c>
      <c r="B30" s="8" t="n">
        <v>566</v>
      </c>
    </row>
    <row r="31" customFormat="false" ht="15" hidden="false" customHeight="false" outlineLevel="0" collapsed="false">
      <c r="A31" s="0" t="s">
        <v>219</v>
      </c>
      <c r="B31" s="0" t="n">
        <v>0.14</v>
      </c>
    </row>
    <row r="32" customFormat="false" ht="15" hidden="false" customHeight="false" outlineLevel="0" collapsed="false">
      <c r="A32" s="0" t="s">
        <v>220</v>
      </c>
      <c r="B32" s="0" t="n"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13" min="3" style="0" width="18"/>
  </cols>
  <sheetData>
    <row r="1" customFormat="false" ht="16.15" hidden="false" customHeight="false" outlineLevel="0" collapsed="false">
      <c r="A1" s="4" t="s">
        <v>221</v>
      </c>
    </row>
    <row r="2" customFormat="false" ht="15" hidden="false" customHeight="false" outlineLevel="0" collapsed="false">
      <c r="A2" s="2" t="s">
        <v>153</v>
      </c>
      <c r="B2" s="2" t="s">
        <v>79</v>
      </c>
      <c r="C2" s="2" t="s">
        <v>222</v>
      </c>
      <c r="D2" s="2" t="s">
        <v>223</v>
      </c>
      <c r="E2" s="2" t="s">
        <v>224</v>
      </c>
      <c r="F2" s="2" t="s">
        <v>225</v>
      </c>
      <c r="G2" s="2" t="s">
        <v>226</v>
      </c>
      <c r="H2" s="2" t="s">
        <v>227</v>
      </c>
      <c r="I2" s="2" t="s">
        <v>228</v>
      </c>
      <c r="J2" s="2" t="s">
        <v>229</v>
      </c>
      <c r="K2" s="2" t="s">
        <v>230</v>
      </c>
      <c r="L2" s="2" t="s">
        <v>231</v>
      </c>
      <c r="M2" s="2" t="s">
        <v>232</v>
      </c>
    </row>
    <row r="3" customFormat="false" ht="15" hidden="false" customHeight="false" outlineLevel="0" collapsed="false">
      <c r="A3" s="0" t="s">
        <v>233</v>
      </c>
      <c r="B3" s="0" t="s">
        <v>234</v>
      </c>
      <c r="C3" s="9" t="n">
        <f aca="false">'Ops Compute'!C35*16000/1000000</f>
        <v>0.704</v>
      </c>
      <c r="D3" s="9" t="n">
        <f aca="false">'Ops Compute'!D35*16000/1000000</f>
        <v>0.704</v>
      </c>
      <c r="E3" s="9" t="n">
        <f aca="false">'Ops Compute'!E35*16000/1000000</f>
        <v>0.704</v>
      </c>
      <c r="F3" s="9" t="n">
        <f aca="false">'Ops Compute'!F35*16000/1000000</f>
        <v>1.408</v>
      </c>
      <c r="G3" s="9" t="n">
        <f aca="false">'Ops Compute'!G35*16000/1000000</f>
        <v>1.408</v>
      </c>
      <c r="H3" s="9" t="n">
        <f aca="false">'Ops Compute'!H35*16000/1000000</f>
        <v>1.408</v>
      </c>
      <c r="I3" s="9" t="n">
        <f aca="false">'Ops Compute'!I35*16000/1000000</f>
        <v>1.408</v>
      </c>
      <c r="J3" s="9" t="n">
        <f aca="false">'Ops Compute'!J35*16000/1000000</f>
        <v>1.408</v>
      </c>
      <c r="K3" s="9" t="n">
        <f aca="false">'Ops Compute'!K35*16000/1000000</f>
        <v>1.408</v>
      </c>
      <c r="L3" s="9" t="n">
        <f aca="false">'Ops Compute'!L35*16000/1000000</f>
        <v>1.408</v>
      </c>
      <c r="M3" s="9" t="n">
        <f aca="false">SUM(C3:L3)</f>
        <v>11.968</v>
      </c>
    </row>
    <row r="4" customFormat="false" ht="15" hidden="false" customHeight="false" outlineLevel="0" collapsed="false">
      <c r="A4" s="0" t="s">
        <v>235</v>
      </c>
      <c r="B4" s="0" t="s">
        <v>234</v>
      </c>
      <c r="C4" s="9" t="n">
        <f aca="false">C3*POWER(1,2026-2026)</f>
        <v>0.704</v>
      </c>
      <c r="D4" s="9" t="n">
        <f aca="false">D3*POWER(1,2027-2026)</f>
        <v>0.704</v>
      </c>
      <c r="E4" s="9" t="n">
        <f aca="false">E3*POWER(1,2028-2026)</f>
        <v>0.704</v>
      </c>
      <c r="F4" s="9" t="n">
        <f aca="false">F3*POWER(1,2029-2026)</f>
        <v>1.408</v>
      </c>
      <c r="G4" s="9" t="n">
        <f aca="false">G3*POWER(1,2030-2026)</f>
        <v>1.408</v>
      </c>
      <c r="H4" s="9" t="n">
        <f aca="false">H3*POWER(1,2031-2026)</f>
        <v>1.408</v>
      </c>
      <c r="I4" s="9" t="n">
        <f aca="false">I3*POWER(1,2032-2026)</f>
        <v>1.408</v>
      </c>
      <c r="J4" s="9" t="n">
        <f aca="false">J3*POWER(1,2033-2026)</f>
        <v>1.408</v>
      </c>
      <c r="K4" s="9" t="n">
        <f aca="false">K3*POWER(1,2034-2026)</f>
        <v>1.408</v>
      </c>
      <c r="L4" s="9" t="n">
        <f aca="false">L3*POWER(1,2035-2026)</f>
        <v>1.408</v>
      </c>
      <c r="M4" s="9" t="n">
        <f aca="false">SUM(C4:L4)</f>
        <v>11.968</v>
      </c>
    </row>
    <row r="5" customFormat="false" ht="15" hidden="false" customHeight="false" outlineLevel="0" collapsed="false">
      <c r="A5" s="0" t="s">
        <v>236</v>
      </c>
      <c r="B5" s="0" t="s">
        <v>234</v>
      </c>
      <c r="C5" s="9" t="n">
        <f aca="false">'Ops Compute'!C27*20000/1000000</f>
        <v>1.64</v>
      </c>
      <c r="D5" s="9" t="n">
        <f aca="false">'Ops Compute'!D27*20000/1000000</f>
        <v>2.66</v>
      </c>
      <c r="E5" s="9" t="n">
        <f aca="false">'Ops Compute'!E27*20000/1000000</f>
        <v>-0.3</v>
      </c>
      <c r="F5" s="9" t="n">
        <f aca="false">'Ops Compute'!F27*20000/1000000</f>
        <v>3.24</v>
      </c>
      <c r="G5" s="9" t="n">
        <f aca="false">'Ops Compute'!G27*20000/1000000</f>
        <v>4.3</v>
      </c>
      <c r="H5" s="9" t="n">
        <f aca="false">'Ops Compute'!H27*20000/1000000</f>
        <v>1.44</v>
      </c>
      <c r="I5" s="9" t="n">
        <f aca="false">'Ops Compute'!I27*20000/1000000</f>
        <v>-1.98</v>
      </c>
      <c r="J5" s="9" t="n">
        <f aca="false">'Ops Compute'!J27*20000/1000000</f>
        <v>2.58</v>
      </c>
      <c r="K5" s="9" t="n">
        <f aca="false">'Ops Compute'!K27*20000/1000000</f>
        <v>2.72</v>
      </c>
      <c r="L5" s="9" t="n">
        <f aca="false">'Ops Compute'!L27*20000/1000000</f>
        <v>-2.56</v>
      </c>
      <c r="M5" s="9" t="n">
        <f aca="false">SUM(C5:L5)</f>
        <v>13.74</v>
      </c>
    </row>
    <row r="6" customFormat="false" ht="15" hidden="false" customHeight="false" outlineLevel="0" collapsed="false">
      <c r="A6" s="0" t="s">
        <v>237</v>
      </c>
      <c r="B6" s="0" t="s">
        <v>234</v>
      </c>
      <c r="C6" s="9" t="n">
        <f aca="false">C5*POWER(1,2026-2026)</f>
        <v>1.64</v>
      </c>
      <c r="D6" s="9" t="n">
        <f aca="false">D5*POWER(1,2027-2026)</f>
        <v>2.66</v>
      </c>
      <c r="E6" s="9" t="n">
        <f aca="false">E5*POWER(1,2028-2026)</f>
        <v>-0.3</v>
      </c>
      <c r="F6" s="9" t="n">
        <f aca="false">F5*POWER(1,2029-2026)</f>
        <v>3.24</v>
      </c>
      <c r="G6" s="9" t="n">
        <f aca="false">G5*POWER(1,2030-2026)</f>
        <v>4.3</v>
      </c>
      <c r="H6" s="9" t="n">
        <f aca="false">H5*POWER(1,2031-2026)</f>
        <v>1.44</v>
      </c>
      <c r="I6" s="9" t="n">
        <f aca="false">I5*POWER(1,2032-2026)</f>
        <v>-1.98</v>
      </c>
      <c r="J6" s="9" t="n">
        <f aca="false">J5*POWER(1,2033-2026)</f>
        <v>2.58</v>
      </c>
      <c r="K6" s="9" t="n">
        <f aca="false">K5*POWER(1,2034-2026)</f>
        <v>2.72</v>
      </c>
      <c r="L6" s="9" t="n">
        <f aca="false">L5*POWER(1,2035-2026)</f>
        <v>-2.56</v>
      </c>
      <c r="M6" s="9" t="n">
        <f aca="false">SUM(C6:L6)</f>
        <v>13.74</v>
      </c>
    </row>
    <row r="7" customFormat="false" ht="15" hidden="false" customHeight="false" outlineLevel="0" collapsed="false">
      <c r="A7" s="0" t="s">
        <v>238</v>
      </c>
      <c r="B7" s="0" t="s">
        <v>234</v>
      </c>
      <c r="C7" s="9" t="n">
        <f aca="false">'Ops Compute'!C29*250000/1000000</f>
        <v>0.5</v>
      </c>
      <c r="D7" s="9" t="n">
        <f aca="false">'Ops Compute'!D29*250000/1000000</f>
        <v>0.5</v>
      </c>
      <c r="E7" s="9" t="n">
        <f aca="false">'Ops Compute'!E29*250000/1000000</f>
        <v>0.5</v>
      </c>
      <c r="F7" s="9" t="n">
        <f aca="false">'Ops Compute'!F29*250000/1000000</f>
        <v>0.5</v>
      </c>
      <c r="G7" s="9" t="n">
        <f aca="false">'Ops Compute'!G29*250000/1000000</f>
        <v>0.5</v>
      </c>
      <c r="H7" s="9" t="n">
        <f aca="false">'Ops Compute'!H29*250000/1000000</f>
        <v>0.5</v>
      </c>
      <c r="I7" s="9" t="n">
        <f aca="false">'Ops Compute'!I29*250000/1000000</f>
        <v>0.5</v>
      </c>
      <c r="J7" s="9" t="n">
        <f aca="false">'Ops Compute'!J29*250000/1000000</f>
        <v>0.5</v>
      </c>
      <c r="K7" s="9" t="n">
        <f aca="false">'Ops Compute'!K29*250000/1000000</f>
        <v>0.5</v>
      </c>
      <c r="L7" s="9" t="n">
        <f aca="false">'Ops Compute'!L29*250000/1000000</f>
        <v>0.5</v>
      </c>
      <c r="M7" s="9" t="n">
        <f aca="false">SUM(C7:L7)</f>
        <v>5</v>
      </c>
    </row>
    <row r="8" customFormat="false" ht="15" hidden="false" customHeight="false" outlineLevel="0" collapsed="false">
      <c r="A8" s="0" t="s">
        <v>239</v>
      </c>
      <c r="B8" s="0" t="s">
        <v>234</v>
      </c>
      <c r="C8" s="0" t="n">
        <f aca="false">'Ops Compute'!C31*8000/1000000</f>
        <v>0.6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f aca="false">SUM(C8:L8)</f>
        <v>0.6</v>
      </c>
    </row>
    <row r="9" customFormat="false" ht="15" hidden="false" customHeight="false" outlineLevel="0" collapsed="false">
      <c r="A9" s="3" t="s">
        <v>240</v>
      </c>
      <c r="B9" s="0" t="s">
        <v>234</v>
      </c>
      <c r="C9" s="9" t="n">
        <f aca="false">C4+C6+C7+C8</f>
        <v>3.444</v>
      </c>
      <c r="D9" s="9" t="n">
        <f aca="false">D4+D6+D7+D8</f>
        <v>3.864</v>
      </c>
      <c r="E9" s="9" t="n">
        <f aca="false">E4+E6+E7+E8</f>
        <v>0.904</v>
      </c>
      <c r="F9" s="9" t="n">
        <f aca="false">F4+F6+F7+F8</f>
        <v>5.148</v>
      </c>
      <c r="G9" s="9" t="n">
        <f aca="false">G4+G6+G7+G8</f>
        <v>6.208</v>
      </c>
      <c r="H9" s="9" t="n">
        <f aca="false">H4+H6+H7+H8</f>
        <v>3.348</v>
      </c>
      <c r="I9" s="9" t="n">
        <f aca="false">I4+I6+I7+I8</f>
        <v>-0.0720000000000001</v>
      </c>
      <c r="J9" s="9" t="n">
        <f aca="false">J4+J6+J7+J8</f>
        <v>4.488</v>
      </c>
      <c r="K9" s="9" t="n">
        <f aca="false">K4+K6+K7+K8</f>
        <v>4.628</v>
      </c>
      <c r="L9" s="9" t="n">
        <f aca="false">L4+L6+L7+L8</f>
        <v>-0.652</v>
      </c>
      <c r="M9" s="9" t="n">
        <f aca="false">SUM(C9:L9)</f>
        <v>31.308</v>
      </c>
    </row>
    <row r="11" customFormat="false" ht="15" hidden="false" customHeight="false" outlineLevel="0" collapsed="false">
      <c r="A11" s="3" t="s">
        <v>241</v>
      </c>
    </row>
    <row r="12" customFormat="false" ht="15" hidden="false" customHeight="false" outlineLevel="0" collapsed="false">
      <c r="A12" s="0" t="s">
        <v>242</v>
      </c>
      <c r="B12" s="0" t="s">
        <v>234</v>
      </c>
      <c r="C12" s="9" t="n">
        <f aca="false">'Ops Storage'!C51*320/1000000</f>
        <v>0.112959663157895</v>
      </c>
      <c r="D12" s="9" t="n">
        <f aca="false">MAX(0,'Ops Storage'!D51-'Ops Storage'!C51)*320/1000000</f>
        <v>0.0609336</v>
      </c>
      <c r="E12" s="9" t="n">
        <f aca="false">MAX(0,'Ops Storage'!E51-'Ops Storage'!D51)*320/1000000</f>
        <v>0.068955264</v>
      </c>
      <c r="F12" s="9" t="n">
        <f aca="false">MAX(0,'Ops Storage'!F51-'Ops Storage'!E51)*320/1000000</f>
        <v>0.025966656</v>
      </c>
      <c r="G12" s="9" t="n">
        <f aca="false">MAX(0,'Ops Storage'!G51-'Ops Storage'!F51)*320/1000000</f>
        <v>0.021703968</v>
      </c>
      <c r="H12" s="9" t="n">
        <f aca="false">MAX(0,'Ops Storage'!H51-'Ops Storage'!G51)*320/1000000</f>
        <v>0.020211648</v>
      </c>
      <c r="I12" s="9" t="n">
        <f aca="false">MAX(0,'Ops Storage'!I51-'Ops Storage'!H51)*320/1000000</f>
        <v>0.019343808</v>
      </c>
      <c r="J12" s="9" t="n">
        <f aca="false">MAX(0,'Ops Storage'!J51-'Ops Storage'!I51)*320/1000000</f>
        <v>0.018993888</v>
      </c>
      <c r="K12" s="9" t="n">
        <f aca="false">MAX(0,'Ops Storage'!K51-'Ops Storage'!J51)*320/1000000</f>
        <v>0.01809504</v>
      </c>
      <c r="L12" s="9" t="n">
        <f aca="false">MAX(0,'Ops Storage'!L51-'Ops Storage'!K51)*320/1000000</f>
        <v>0.01753056</v>
      </c>
      <c r="M12" s="9" t="n">
        <f aca="false">SUM(C12:L12)</f>
        <v>0.384694095157895</v>
      </c>
    </row>
    <row r="13" customFormat="false" ht="15" hidden="false" customHeight="false" outlineLevel="0" collapsed="false">
      <c r="A13" s="0" t="s">
        <v>243</v>
      </c>
      <c r="B13" s="0" t="s">
        <v>234</v>
      </c>
      <c r="C13" s="9" t="n">
        <f aca="false">'Ops Storage'!C53*56/1000000</f>
        <v>0.895186255365208</v>
      </c>
      <c r="D13" s="9" t="n">
        <f aca="false">MAX(0,'Ops Storage'!D53-'Ops Storage'!C53)*56/1000000</f>
        <v>0.2387059248</v>
      </c>
      <c r="E13" s="9" t="n">
        <f aca="false">MAX(0,'Ops Storage'!E53-'Ops Storage'!D53)*56/1000000</f>
        <v>0.2348805312</v>
      </c>
      <c r="F13" s="9" t="n">
        <f aca="false">MAX(0,'Ops Storage'!F53-'Ops Storage'!E53)*56/1000000</f>
        <v>0.23064878592</v>
      </c>
      <c r="G13" s="9" t="n">
        <f aca="false">MAX(0,'Ops Storage'!G53-'Ops Storage'!F53)*56/1000000</f>
        <v>0.21995297856</v>
      </c>
      <c r="H13" s="9" t="n">
        <f aca="false">MAX(0,'Ops Storage'!H53-'Ops Storage'!G53)*56/1000000</f>
        <v>0.22612431744</v>
      </c>
      <c r="I13" s="9" t="n">
        <f aca="false">MAX(0,'Ops Storage'!I53-'Ops Storage'!H53)*56/1000000</f>
        <v>0.23475646656</v>
      </c>
      <c r="J13" s="9" t="n">
        <f aca="false">MAX(0,'Ops Storage'!J53-'Ops Storage'!I53)*56/1000000</f>
        <v>0.24275942208</v>
      </c>
      <c r="K13" s="9" t="n">
        <f aca="false">MAX(0,'Ops Storage'!K53-'Ops Storage'!J53)*56/1000000</f>
        <v>0.24799590144</v>
      </c>
      <c r="L13" s="9" t="n">
        <f aca="false">MAX(0,'Ops Storage'!L53-'Ops Storage'!K53)*56/1000000</f>
        <v>0.2561938848</v>
      </c>
      <c r="M13" s="9" t="n">
        <f aca="false">SUM(C13:L13)</f>
        <v>3.02720446816521</v>
      </c>
    </row>
    <row r="14" customFormat="false" ht="15" hidden="false" customHeight="false" outlineLevel="0" collapsed="false">
      <c r="A14" s="0" t="s">
        <v>244</v>
      </c>
      <c r="B14" s="0" t="s">
        <v>234</v>
      </c>
      <c r="C14" s="9" t="n">
        <f aca="false">'Ops Storage'!C61*36/1000000</f>
        <v>0.283518226140048</v>
      </c>
      <c r="D14" s="9" t="n">
        <f aca="false">MAX(0,'Ops Storage'!D61-'Ops Storage'!C61)*36/1000000</f>
        <v>0.283518226140048</v>
      </c>
      <c r="E14" s="9" t="n">
        <f aca="false">MAX(0,'Ops Storage'!E61-'Ops Storage'!D61)*36/1000000</f>
        <v>0.184132954140048</v>
      </c>
      <c r="F14" s="9" t="n">
        <f aca="false">MAX(0,'Ops Storage'!F61-'Ops Storage'!E61)*36/1000000</f>
        <v>0.040212154140048</v>
      </c>
      <c r="G14" s="9" t="n">
        <f aca="false">MAX(0,'Ops Storage'!G61-'Ops Storage'!F61)*36/1000000</f>
        <v>0.040212154140048</v>
      </c>
      <c r="H14" s="9" t="n">
        <f aca="false">MAX(0,'Ops Storage'!H61-'Ops Storage'!G61)*36/1000000</f>
        <v>0.040212154140048</v>
      </c>
      <c r="I14" s="9" t="n">
        <f aca="false">MAX(0,'Ops Storage'!I61-'Ops Storage'!H61)*36/1000000</f>
        <v>0.040212154140048</v>
      </c>
      <c r="J14" s="9" t="n">
        <f aca="false">MAX(0,'Ops Storage'!J61-'Ops Storage'!I61)*36/1000000</f>
        <v>0.040212154140048</v>
      </c>
      <c r="K14" s="9" t="n">
        <f aca="false">MAX(0,'Ops Storage'!K61-'Ops Storage'!J61)*36/1000000</f>
        <v>0.040212154140048</v>
      </c>
      <c r="L14" s="9" t="n">
        <f aca="false">MAX(0,'Ops Storage'!L61-'Ops Storage'!K61)*36/1000000</f>
        <v>0.040212154140048</v>
      </c>
      <c r="M14" s="9" t="n">
        <f aca="false">SUM(C14:L14)</f>
        <v>1.03265448540048</v>
      </c>
    </row>
    <row r="15" customFormat="false" ht="15" hidden="false" customHeight="false" outlineLevel="0" collapsed="false">
      <c r="A15" s="0" t="s">
        <v>245</v>
      </c>
      <c r="B15" s="0" t="s">
        <v>234</v>
      </c>
      <c r="C15" s="9" t="n">
        <f aca="false">'Ops Storage'!C66*12.5/1000000</f>
        <v>0.184194745343441</v>
      </c>
      <c r="D15" s="9" t="n">
        <f aca="false">MAX(0,'Ops Storage'!D66-'Ops Storage'!C66)*12.5/1000000</f>
        <v>0.209075174093441</v>
      </c>
      <c r="E15" s="9" t="n">
        <f aca="false">MAX(0,'Ops Storage'!E66-'Ops Storage'!D66)*12.5/1000000</f>
        <v>0.232813289093441</v>
      </c>
      <c r="F15" s="9" t="n">
        <f aca="false">MAX(0,'Ops Storage'!F66-'Ops Storage'!E66)*12.5/1000000</f>
        <v>0.254518973093441</v>
      </c>
      <c r="G15" s="9" t="n">
        <f aca="false">MAX(0,'Ops Storage'!G66-'Ops Storage'!F66)*12.5/1000000</f>
        <v>0.272076747593441</v>
      </c>
      <c r="H15" s="9" t="n">
        <f aca="false">MAX(0,'Ops Storage'!H66-'Ops Storage'!G66)*12.5/1000000</f>
        <v>0.289864110593441</v>
      </c>
      <c r="I15" s="9" t="n">
        <f aca="false">MAX(0,'Ops Storage'!I66-'Ops Storage'!H66)*12.5/1000000</f>
        <v>0.307972610093441</v>
      </c>
      <c r="J15" s="9" t="n">
        <f aca="false">MAX(0,'Ops Storage'!J66-'Ops Storage'!I66)*12.5/1000000</f>
        <v>0.326378838593441</v>
      </c>
      <c r="K15" s="9" t="n">
        <f aca="false">MAX(0,'Ops Storage'!K66-'Ops Storage'!J66)*12.5/1000000</f>
        <v>0.344979876593441</v>
      </c>
      <c r="L15" s="9" t="n">
        <f aca="false">MAX(0,'Ops Storage'!L66-'Ops Storage'!K66)*12.5/1000000</f>
        <v>0.363885899093441</v>
      </c>
      <c r="M15" s="9" t="n">
        <f aca="false">SUM(C15:L15)</f>
        <v>2.78576026418441</v>
      </c>
    </row>
    <row r="16" customFormat="false" ht="15" hidden="false" customHeight="false" outlineLevel="0" collapsed="false">
      <c r="A16" s="0" t="s">
        <v>246</v>
      </c>
      <c r="B16" s="0" t="s">
        <v>234</v>
      </c>
      <c r="C16" s="9" t="n">
        <f aca="false">(C12+C13+C14+C15)*POWER(1,2026-2026)</f>
        <v>1.47585889000659</v>
      </c>
      <c r="D16" s="9" t="n">
        <f aca="false">(D12+D13+D14+D15)*POWER(1,2027-2026)</f>
        <v>0.792232925033489</v>
      </c>
      <c r="E16" s="9" t="n">
        <f aca="false">(E12+E13+E14+E15)*POWER(1,2028-2026)</f>
        <v>0.720782038433489</v>
      </c>
      <c r="F16" s="9" t="n">
        <f aca="false">(F12+F13+F14+F15)*POWER(1,2029-2026)</f>
        <v>0.551346569153489</v>
      </c>
      <c r="G16" s="9" t="n">
        <f aca="false">(G12+G13+G14+G15)*POWER(1,2030-2026)</f>
        <v>0.553945848293489</v>
      </c>
      <c r="H16" s="9" t="n">
        <f aca="false">(H12+H13+H14+H15)*POWER(1,2031-2026)</f>
        <v>0.576412230173489</v>
      </c>
      <c r="I16" s="9" t="n">
        <f aca="false">(I12+I13+I14+I15)*POWER(1,2032-2026)</f>
        <v>0.602285038793489</v>
      </c>
      <c r="J16" s="9" t="n">
        <f aca="false">(J12+J13+J14+J15)*POWER(1,2033-2026)</f>
        <v>0.628344302813489</v>
      </c>
      <c r="K16" s="9" t="n">
        <f aca="false">(K12+K13+K14+K15)*POWER(1,2034-2026)</f>
        <v>0.651282972173489</v>
      </c>
      <c r="L16" s="9" t="n">
        <f aca="false">(L12+L13+L14+L15)*POWER(1,2035-2026)</f>
        <v>0.677822498033489</v>
      </c>
      <c r="M16" s="9" t="n">
        <f aca="false">SUM(C16:L16)</f>
        <v>7.23031331290799</v>
      </c>
    </row>
    <row r="17" customFormat="false" ht="15" hidden="false" customHeight="false" outlineLevel="0" collapsed="false">
      <c r="A17" s="3" t="s">
        <v>247</v>
      </c>
      <c r="B17" s="0" t="s">
        <v>234</v>
      </c>
      <c r="C17" s="9" t="n">
        <f aca="false">C12+C13+C14+C15</f>
        <v>1.47585889000659</v>
      </c>
      <c r="D17" s="9" t="n">
        <f aca="false">D12+D13+D14+D15</f>
        <v>0.792232925033489</v>
      </c>
      <c r="E17" s="9" t="n">
        <f aca="false">E12+E13+E14+E15</f>
        <v>0.720782038433489</v>
      </c>
      <c r="F17" s="9" t="n">
        <f aca="false">F12+F13+F14+F15</f>
        <v>0.551346569153489</v>
      </c>
      <c r="G17" s="9" t="n">
        <f aca="false">G12+G13+G14+G15</f>
        <v>0.553945848293489</v>
      </c>
      <c r="H17" s="9" t="n">
        <f aca="false">H12+H13+H14+H15</f>
        <v>0.576412230173489</v>
      </c>
      <c r="I17" s="9" t="n">
        <f aca="false">I12+I13+I14+I15</f>
        <v>0.602285038793489</v>
      </c>
      <c r="J17" s="9" t="n">
        <f aca="false">J12+J13+J14+J15</f>
        <v>0.628344302813489</v>
      </c>
      <c r="K17" s="9" t="n">
        <f aca="false">K12+K13+K14+K15</f>
        <v>0.651282972173489</v>
      </c>
      <c r="L17" s="9" t="n">
        <f aca="false">L12+L13+L14+L15</f>
        <v>0.677822498033489</v>
      </c>
      <c r="M17" s="9" t="n">
        <f aca="false">SUM(C17:L17)</f>
        <v>7.23031331290799</v>
      </c>
    </row>
    <row r="19" customFormat="false" ht="15" hidden="false" customHeight="false" outlineLevel="0" collapsed="false">
      <c r="A19" s="3" t="s">
        <v>215</v>
      </c>
    </row>
    <row r="20" customFormat="false" ht="15" hidden="false" customHeight="false" outlineLevel="0" collapsed="false">
      <c r="A20" s="0" t="s">
        <v>248</v>
      </c>
      <c r="B20" s="0" t="s">
        <v>234</v>
      </c>
      <c r="C20" s="9" t="n">
        <f aca="false">CEILING('Ops Compute'!C36/Model!$D$4,1)*Model!$B$30/1000000</f>
        <v>0.106974</v>
      </c>
      <c r="D20" s="9" t="n">
        <f aca="false">CEILING('Ops Compute'!D36/Model!$D$4,1)*Model!$B$30/1000000</f>
        <v>0.131878</v>
      </c>
      <c r="E20" s="9" t="n">
        <f aca="false">CEILING('Ops Compute'!E36/Model!$D$4,1)*Model!$B$30/1000000</f>
        <v>0.156216</v>
      </c>
      <c r="F20" s="9" t="n">
        <f aca="false">CEILING('Ops Compute'!F36/Model!$D$4,1)*Model!$B$30/1000000</f>
        <v>0.205458</v>
      </c>
      <c r="G20" s="9" t="n">
        <f aca="false">CEILING('Ops Compute'!G36/Model!$D$4,1)*Model!$B$30/1000000</f>
        <v>0.2547</v>
      </c>
      <c r="H20" s="9" t="n">
        <f aca="false">CEILING('Ops Compute'!H36/Model!$D$4,1)*Model!$B$30/1000000</f>
        <v>0.304508</v>
      </c>
      <c r="I20" s="9" t="n">
        <f aca="false">CEILING('Ops Compute'!I36/Model!$D$4,1)*Model!$B$30/1000000</f>
        <v>0.35375</v>
      </c>
      <c r="J20" s="9" t="n">
        <f aca="false">CEILING('Ops Compute'!J36/Model!$D$4,1)*Model!$B$30/1000000</f>
        <v>0.402992</v>
      </c>
      <c r="K20" s="9" t="n">
        <f aca="false">CEILING('Ops Compute'!K36/Model!$D$4,1)*Model!$B$30/1000000</f>
        <v>0.452234</v>
      </c>
      <c r="L20" s="9" t="n">
        <f aca="false">CEILING('Ops Compute'!L36/Model!$D$4,1)*Model!$B$30/1000000</f>
        <v>0.501476</v>
      </c>
      <c r="M20" s="9" t="n">
        <f aca="false">SUM(C20:L20)</f>
        <v>2.870186</v>
      </c>
    </row>
    <row r="21" customFormat="false" ht="15" hidden="false" customHeight="false" outlineLevel="0" collapsed="false">
      <c r="A21" s="0" t="s">
        <v>249</v>
      </c>
      <c r="B21" s="0" t="s">
        <v>234</v>
      </c>
      <c r="C21" s="9" t="n">
        <f aca="false">0.14*(C9+C17)+0.15</f>
        <v>0.838780244600923</v>
      </c>
      <c r="D21" s="9" t="n">
        <f aca="false">0.14*(D9+D17)+0.15</f>
        <v>0.801872609504689</v>
      </c>
      <c r="E21" s="9" t="n">
        <f aca="false">0.14*(E9+E17)+0.15</f>
        <v>0.377469485380689</v>
      </c>
      <c r="F21" s="9" t="n">
        <f aca="false">0.14*(F9+F17)+0.15</f>
        <v>0.947908519681489</v>
      </c>
      <c r="G21" s="9" t="n">
        <f aca="false">0.14*(G9+G17)+0.15</f>
        <v>1.09667241876109</v>
      </c>
      <c r="H21" s="9" t="n">
        <f aca="false">0.14*(H9+H17)+0.15</f>
        <v>0.699417712224289</v>
      </c>
      <c r="I21" s="9" t="n">
        <f aca="false">0.14*(I9+I17)+0.15</f>
        <v>0.224239905431088</v>
      </c>
      <c r="J21" s="9" t="n">
        <f aca="false">0.14*(J9+J17)+0.15</f>
        <v>0.866288202393889</v>
      </c>
      <c r="K21" s="9" t="n">
        <f aca="false">0.14*(K9+K17)+0.15</f>
        <v>0.889099616104289</v>
      </c>
      <c r="L21" s="9" t="n">
        <f aca="false">0.14*(L9+L17)+0.15</f>
        <v>0.153615149724688</v>
      </c>
      <c r="M21" s="9" t="n">
        <f aca="false">SUM(C21:L21)</f>
        <v>6.89536386380712</v>
      </c>
    </row>
    <row r="23" customFormat="false" ht="16.15" hidden="false" customHeight="false" outlineLevel="0" collapsed="false">
      <c r="A23" s="10" t="s">
        <v>250</v>
      </c>
    </row>
    <row r="24" customFormat="false" ht="15" hidden="false" customHeight="false" outlineLevel="0" collapsed="false">
      <c r="A24" s="0" t="s">
        <v>251</v>
      </c>
      <c r="B24" s="0" t="s">
        <v>234</v>
      </c>
      <c r="C24" s="9" t="n">
        <f aca="false">C9+C17+C20+C21</f>
        <v>5.86561313460751</v>
      </c>
      <c r="D24" s="9" t="n">
        <f aca="false">D9+D17+D20+D21</f>
        <v>5.58998353453818</v>
      </c>
      <c r="E24" s="9" t="n">
        <f aca="false">E9+E17+E20+E21</f>
        <v>2.15846752381418</v>
      </c>
      <c r="F24" s="9" t="n">
        <f aca="false">F9+F17+F20+F21</f>
        <v>6.85271308883498</v>
      </c>
      <c r="G24" s="9" t="n">
        <f aca="false">G9+G17+G20+G21</f>
        <v>8.11331826705458</v>
      </c>
      <c r="H24" s="9" t="n">
        <f aca="false">H9+H17+H20+H21</f>
        <v>4.92833794239778</v>
      </c>
      <c r="I24" s="9" t="n">
        <f aca="false">I9+I17+I20+I21</f>
        <v>1.10827494422458</v>
      </c>
      <c r="J24" s="9" t="n">
        <f aca="false">J9+J17+J20+J21</f>
        <v>6.38562450520738</v>
      </c>
      <c r="K24" s="9" t="n">
        <f aca="false">K9+K17+K20+K21</f>
        <v>6.62061658827778</v>
      </c>
      <c r="L24" s="9" t="n">
        <f aca="false">L9+L17+L20+L21</f>
        <v>0.680913647758178</v>
      </c>
      <c r="M24" s="9" t="n">
        <f aca="false">SUM(C24:L24)</f>
        <v>48.3038631767151</v>
      </c>
    </row>
    <row r="25" customFormat="false" ht="15" hidden="false" customHeight="false" outlineLevel="0" collapsed="false">
      <c r="A25" s="0" t="s">
        <v>252</v>
      </c>
      <c r="B25" s="0" t="s">
        <v>234</v>
      </c>
      <c r="C25" s="9" t="n">
        <f aca="false">C4+C6+C7+C8+C16+C20+C21</f>
        <v>5.86561313460751</v>
      </c>
      <c r="D25" s="9" t="n">
        <f aca="false">D4+D6+D7+D8+D16+D20+D21</f>
        <v>5.58998353453818</v>
      </c>
      <c r="E25" s="9" t="n">
        <f aca="false">E4+E6+E7+E8+E16+E20+E21</f>
        <v>2.15846752381418</v>
      </c>
      <c r="F25" s="9" t="n">
        <f aca="false">F4+F6+F7+F8+F16+F20+F21</f>
        <v>6.85271308883498</v>
      </c>
      <c r="G25" s="9" t="n">
        <f aca="false">G4+G6+G7+G8+G16+G20+G21</f>
        <v>8.11331826705458</v>
      </c>
      <c r="H25" s="9" t="n">
        <f aca="false">H4+H6+H7+H8+H16+H20+H21</f>
        <v>4.92833794239778</v>
      </c>
      <c r="I25" s="9" t="n">
        <f aca="false">I4+I6+I7+I8+I16+I20+I21</f>
        <v>1.10827494422458</v>
      </c>
      <c r="J25" s="9" t="n">
        <f aca="false">J4+J6+J7+J8+J16+J20+J21</f>
        <v>6.38562450520738</v>
      </c>
      <c r="K25" s="9" t="n">
        <f aca="false">K4+K6+K7+K8+K16+K20+K21</f>
        <v>6.62061658827778</v>
      </c>
      <c r="L25" s="9" t="n">
        <f aca="false">L4+L6+L7+L8+L16+L20+L21</f>
        <v>0.680913647758178</v>
      </c>
      <c r="M25" s="9" t="n">
        <f aca="false">SUM(C25:L25)</f>
        <v>48.3038631767151</v>
      </c>
    </row>
    <row r="26" customFormat="false" ht="15" hidden="false" customHeight="false" outlineLevel="0" collapsed="false">
      <c r="A26" s="0" t="s">
        <v>253</v>
      </c>
      <c r="B26" s="0" t="s">
        <v>234</v>
      </c>
      <c r="C26" s="9" t="n">
        <f aca="false">C25</f>
        <v>5.86561313460751</v>
      </c>
      <c r="D26" s="9" t="n">
        <f aca="false">C26+D25</f>
        <v>11.4555966691457</v>
      </c>
      <c r="E26" s="9" t="n">
        <f aca="false">D26+E25</f>
        <v>13.6140641929599</v>
      </c>
      <c r="F26" s="9" t="n">
        <f aca="false">E26+F25</f>
        <v>20.4667772817948</v>
      </c>
      <c r="G26" s="9" t="n">
        <f aca="false">F26+G25</f>
        <v>28.5800955488494</v>
      </c>
      <c r="H26" s="9" t="n">
        <f aca="false">G26+H25</f>
        <v>33.5084334912472</v>
      </c>
      <c r="I26" s="9" t="n">
        <f aca="false">H26+I25</f>
        <v>34.6167084354718</v>
      </c>
      <c r="J26" s="9" t="n">
        <f aca="false">I26+J25</f>
        <v>41.0023329406792</v>
      </c>
      <c r="K26" s="9" t="n">
        <f aca="false">J26+K25</f>
        <v>47.6229495289569</v>
      </c>
      <c r="L26" s="9" t="n">
        <f aca="false">K26+L25</f>
        <v>48.3038631767151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L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12" min="3" style="0" width="18"/>
  </cols>
  <sheetData>
    <row r="1" customFormat="false" ht="17.35" hidden="false" customHeight="false" outlineLevel="0" collapsed="false">
      <c r="A1" s="1" t="s">
        <v>254</v>
      </c>
    </row>
    <row r="2" customFormat="false" ht="15" hidden="false" customHeight="false" outlineLevel="0" collapsed="false">
      <c r="A2" s="2" t="s">
        <v>255</v>
      </c>
      <c r="B2" s="2" t="s">
        <v>79</v>
      </c>
      <c r="C2" s="2" t="s">
        <v>80</v>
      </c>
      <c r="D2" s="2" t="s">
        <v>81</v>
      </c>
      <c r="E2" s="2" t="s">
        <v>82</v>
      </c>
      <c r="F2" s="2" t="s">
        <v>83</v>
      </c>
      <c r="G2" s="2" t="s">
        <v>84</v>
      </c>
      <c r="H2" s="2" t="s">
        <v>85</v>
      </c>
      <c r="I2" s="2" t="s">
        <v>86</v>
      </c>
      <c r="J2" s="2" t="s">
        <v>87</v>
      </c>
      <c r="K2" s="2" t="s">
        <v>88</v>
      </c>
      <c r="L2" s="2" t="s">
        <v>89</v>
      </c>
    </row>
    <row r="3" customFormat="false" ht="15" hidden="false" customHeight="false" outlineLevel="0" collapsed="false">
      <c r="A3" s="0" t="s">
        <v>256</v>
      </c>
      <c r="C3" s="0" t="s">
        <v>257</v>
      </c>
      <c r="D3" s="0" t="s">
        <v>258</v>
      </c>
      <c r="E3" s="0" t="s">
        <v>259</v>
      </c>
      <c r="F3" s="0" t="s">
        <v>260</v>
      </c>
      <c r="G3" s="0" t="s">
        <v>261</v>
      </c>
      <c r="H3" s="0" t="s">
        <v>262</v>
      </c>
      <c r="I3" s="0" t="s">
        <v>263</v>
      </c>
      <c r="J3" s="0" t="s">
        <v>264</v>
      </c>
      <c r="K3" s="0" t="s">
        <v>265</v>
      </c>
      <c r="L3" s="0" t="s">
        <v>266</v>
      </c>
    </row>
    <row r="4" customFormat="false" ht="15" hidden="false" customHeight="false" outlineLevel="0" collapsed="false">
      <c r="A4" s="0" t="s">
        <v>267</v>
      </c>
      <c r="C4" s="11" t="s">
        <v>268</v>
      </c>
      <c r="D4" s="11" t="s">
        <v>269</v>
      </c>
      <c r="E4" s="11" t="s">
        <v>270</v>
      </c>
      <c r="F4" s="11" t="s">
        <v>271</v>
      </c>
      <c r="G4" s="11" t="s">
        <v>272</v>
      </c>
      <c r="H4" s="11" t="s">
        <v>273</v>
      </c>
      <c r="I4" s="11" t="s">
        <v>274</v>
      </c>
      <c r="J4" s="11" t="s">
        <v>275</v>
      </c>
      <c r="K4" s="11" t="s">
        <v>276</v>
      </c>
      <c r="L4" s="11" t="s">
        <v>277</v>
      </c>
    </row>
    <row r="6" customFormat="false" ht="15" hidden="false" customHeight="false" outlineLevel="0" collapsed="false">
      <c r="A6" s="3" t="s">
        <v>278</v>
      </c>
    </row>
    <row r="7" customFormat="false" ht="15" hidden="false" customHeight="false" outlineLevel="0" collapsed="false">
      <c r="A7" s="0" t="s">
        <v>279</v>
      </c>
      <c r="B7" s="0" t="s">
        <v>157</v>
      </c>
      <c r="C7" s="5" t="n">
        <f aca="false">'Ops Compute'!C4</f>
        <v>4710</v>
      </c>
      <c r="D7" s="5" t="n">
        <f aca="false">'Ops Compute'!D4</f>
        <v>9419</v>
      </c>
      <c r="E7" s="5" t="n">
        <f aca="false">'Ops Compute'!E4</f>
        <v>14129</v>
      </c>
      <c r="F7" s="5" t="n">
        <f aca="false">'Ops Compute'!F4</f>
        <v>18838</v>
      </c>
      <c r="G7" s="5" t="n">
        <f aca="false">'Ops Compute'!G4</f>
        <v>23548</v>
      </c>
      <c r="H7" s="5" t="n">
        <f aca="false">'Ops Compute'!H4</f>
        <v>28257</v>
      </c>
      <c r="I7" s="5" t="n">
        <f aca="false">'Ops Compute'!I4</f>
        <v>32967</v>
      </c>
      <c r="J7" s="5" t="n">
        <f aca="false">'Ops Compute'!J4</f>
        <v>37676</v>
      </c>
      <c r="K7" s="5" t="n">
        <f aca="false">'Ops Compute'!K4</f>
        <v>42386</v>
      </c>
      <c r="L7" s="5" t="n">
        <f aca="false">'Ops Compute'!L4</f>
        <v>47095</v>
      </c>
    </row>
    <row r="8" customFormat="false" ht="15" hidden="false" customHeight="false" outlineLevel="0" collapsed="false">
      <c r="A8" s="0" t="s">
        <v>280</v>
      </c>
      <c r="B8" s="0" t="s">
        <v>157</v>
      </c>
      <c r="C8" s="5" t="n">
        <f aca="false">C7</f>
        <v>4710</v>
      </c>
      <c r="D8" s="5" t="n">
        <f aca="false">D7</f>
        <v>9419</v>
      </c>
      <c r="E8" s="5" t="n">
        <f aca="false">E7</f>
        <v>14129</v>
      </c>
      <c r="F8" s="5" t="n">
        <f aca="false">F7</f>
        <v>18838</v>
      </c>
      <c r="G8" s="5" t="n">
        <f aca="false">G7</f>
        <v>23548</v>
      </c>
      <c r="H8" s="5" t="n">
        <f aca="false">H7</f>
        <v>28257</v>
      </c>
      <c r="I8" s="5" t="n">
        <f aca="false">I7</f>
        <v>32967</v>
      </c>
      <c r="J8" s="5" t="n">
        <f aca="false">J7</f>
        <v>37676</v>
      </c>
      <c r="K8" s="5" t="n">
        <f aca="false">K7</f>
        <v>42386</v>
      </c>
      <c r="L8" s="5" t="n">
        <f aca="false">L7</f>
        <v>47095</v>
      </c>
    </row>
    <row r="9" customFormat="false" ht="15" hidden="false" customHeight="false" outlineLevel="0" collapsed="false">
      <c r="A9" s="0" t="s">
        <v>281</v>
      </c>
      <c r="B9" s="0" t="s">
        <v>157</v>
      </c>
      <c r="C9" s="5" t="n">
        <f aca="false">'Ops Compute'!C9</f>
        <v>1188</v>
      </c>
      <c r="D9" s="5" t="n">
        <f aca="false">'Ops Compute'!D9</f>
        <v>1188</v>
      </c>
      <c r="E9" s="5" t="n">
        <f aca="false">'Ops Compute'!E9</f>
        <v>1188</v>
      </c>
      <c r="F9" s="5" t="n">
        <f aca="false">'Ops Compute'!F9</f>
        <v>1188</v>
      </c>
      <c r="G9" s="5" t="n">
        <f aca="false">'Ops Compute'!G9</f>
        <v>1188</v>
      </c>
      <c r="H9" s="5" t="n">
        <f aca="false">'Ops Compute'!H9</f>
        <v>1188</v>
      </c>
      <c r="I9" s="5" t="n">
        <f aca="false">'Ops Compute'!I9</f>
        <v>1188</v>
      </c>
      <c r="J9" s="5" t="n">
        <f aca="false">'Ops Compute'!J9</f>
        <v>1188</v>
      </c>
      <c r="K9" s="5" t="n">
        <f aca="false">'Ops Compute'!K9</f>
        <v>1188</v>
      </c>
      <c r="L9" s="5" t="n">
        <f aca="false">'Ops Compute'!L9</f>
        <v>1188</v>
      </c>
    </row>
    <row r="10" customFormat="false" ht="15" hidden="false" customHeight="false" outlineLevel="0" collapsed="false">
      <c r="A10" s="0" t="s">
        <v>282</v>
      </c>
      <c r="B10" s="0" t="s">
        <v>157</v>
      </c>
      <c r="C10" s="5" t="n">
        <f aca="false">'Ops Compute'!C14+'Ops Compute'!C18</f>
        <v>518.1</v>
      </c>
      <c r="D10" s="5" t="n">
        <f aca="false">'Ops Compute'!D14+'Ops Compute'!D18</f>
        <v>1036.09</v>
      </c>
      <c r="E10" s="5" t="n">
        <f aca="false">'Ops Compute'!E14+'Ops Compute'!E18</f>
        <v>1554.19</v>
      </c>
      <c r="F10" s="5" t="n">
        <f aca="false">'Ops Compute'!F14+'Ops Compute'!F18</f>
        <v>2072.18</v>
      </c>
      <c r="G10" s="5" t="n">
        <f aca="false">'Ops Compute'!G14+'Ops Compute'!G18</f>
        <v>2590.28</v>
      </c>
      <c r="H10" s="5" t="n">
        <f aca="false">'Ops Compute'!H14+'Ops Compute'!H18</f>
        <v>3108.27</v>
      </c>
      <c r="I10" s="5" t="n">
        <f aca="false">'Ops Compute'!I14+'Ops Compute'!I18</f>
        <v>3626.37</v>
      </c>
      <c r="J10" s="5" t="n">
        <f aca="false">'Ops Compute'!J14+'Ops Compute'!J18</f>
        <v>4144.36</v>
      </c>
      <c r="K10" s="5" t="n">
        <f aca="false">'Ops Compute'!K14+'Ops Compute'!K18</f>
        <v>4662.46</v>
      </c>
      <c r="L10" s="5" t="n">
        <f aca="false">'Ops Compute'!L14+'Ops Compute'!L18</f>
        <v>5180.45</v>
      </c>
    </row>
    <row r="11" customFormat="false" ht="15" hidden="false" customHeight="false" outlineLevel="0" collapsed="false">
      <c r="A11" s="12" t="s">
        <v>283</v>
      </c>
      <c r="B11" s="0" t="s">
        <v>157</v>
      </c>
      <c r="C11" s="5" t="n">
        <f aca="false">C8+C10</f>
        <v>5228.1</v>
      </c>
      <c r="D11" s="5" t="n">
        <f aca="false">D8+D10</f>
        <v>10455.09</v>
      </c>
      <c r="E11" s="5" t="n">
        <f aca="false">E8+E10</f>
        <v>15683.19</v>
      </c>
      <c r="F11" s="5" t="n">
        <f aca="false">F8+F10</f>
        <v>20910.18</v>
      </c>
      <c r="G11" s="5" t="n">
        <f aca="false">G8+G10</f>
        <v>26138.28</v>
      </c>
      <c r="H11" s="5" t="n">
        <f aca="false">H8+H10</f>
        <v>31365.27</v>
      </c>
      <c r="I11" s="5" t="n">
        <f aca="false">I8+I10</f>
        <v>36593.37</v>
      </c>
      <c r="J11" s="5" t="n">
        <f aca="false">J8+J10</f>
        <v>41820.36</v>
      </c>
      <c r="K11" s="5" t="n">
        <f aca="false">K8+K10</f>
        <v>47048.46</v>
      </c>
      <c r="L11" s="5" t="n">
        <f aca="false">L8+L10</f>
        <v>52275.45</v>
      </c>
    </row>
    <row r="12" customFormat="false" ht="15" hidden="false" customHeight="false" outlineLevel="0" collapsed="false">
      <c r="A12" s="0" t="s">
        <v>284</v>
      </c>
      <c r="B12" s="0" t="s">
        <v>157</v>
      </c>
      <c r="C12" s="5" t="n">
        <f aca="false">17400+MAX(0,C14)</f>
        <v>22628.1</v>
      </c>
      <c r="D12" s="5" t="n">
        <f aca="false">C12+MAX(0,D14)</f>
        <v>27855.09</v>
      </c>
      <c r="E12" s="5" t="n">
        <f aca="false">D12+MAX(0,E14)</f>
        <v>33083.19</v>
      </c>
      <c r="F12" s="5" t="n">
        <f aca="false">E12+MAX(0,F14)</f>
        <v>43538.28</v>
      </c>
      <c r="G12" s="5" t="n">
        <f aca="false">F12+MAX(0,G14)</f>
        <v>53993.37</v>
      </c>
      <c r="H12" s="5" t="n">
        <f aca="false">G12+MAX(0,H14)</f>
        <v>64448.46</v>
      </c>
      <c r="I12" s="5" t="n">
        <f aca="false">H12+MAX(0,I14)</f>
        <v>74903.55</v>
      </c>
      <c r="J12" s="5" t="n">
        <f aca="false">I12+MAX(0,J14)</f>
        <v>85358.64</v>
      </c>
      <c r="K12" s="5" t="n">
        <f aca="false">J12+MAX(0,K14)</f>
        <v>95813.73</v>
      </c>
      <c r="L12" s="5" t="n">
        <f aca="false">K12+MAX(0,L14)</f>
        <v>106268.82</v>
      </c>
    </row>
    <row r="13" customFormat="false" ht="15" hidden="false" customHeight="false" outlineLevel="0" collapsed="false">
      <c r="A13" s="0" t="s">
        <v>285</v>
      </c>
      <c r="B13" s="0" t="s">
        <v>157</v>
      </c>
      <c r="C13" s="5" t="n">
        <f aca="false">C11-C12</f>
        <v>-17400</v>
      </c>
      <c r="D13" s="5" t="n">
        <f aca="false">D11-D12</f>
        <v>-17400</v>
      </c>
      <c r="E13" s="5" t="n">
        <f aca="false">E11-E12</f>
        <v>-17400</v>
      </c>
      <c r="F13" s="5" t="n">
        <f aca="false">F11-F12</f>
        <v>-22628.1</v>
      </c>
      <c r="G13" s="5" t="n">
        <f aca="false">G11-G12</f>
        <v>-27855.09</v>
      </c>
      <c r="H13" s="5" t="n">
        <f aca="false">H11-H12</f>
        <v>-33083.19</v>
      </c>
      <c r="I13" s="5" t="n">
        <f aca="false">I11-I12</f>
        <v>-38310.18</v>
      </c>
      <c r="J13" s="5" t="n">
        <f aca="false">J11-J12</f>
        <v>-43538.28</v>
      </c>
      <c r="K13" s="5" t="n">
        <f aca="false">K11-K12</f>
        <v>-48765.27</v>
      </c>
      <c r="L13" s="5" t="n">
        <f aca="false">L11-L12</f>
        <v>-53993.37</v>
      </c>
    </row>
    <row r="14" customFormat="false" ht="15" hidden="false" customHeight="false" outlineLevel="0" collapsed="false">
      <c r="A14" s="0" t="s">
        <v>286</v>
      </c>
      <c r="B14" s="0" t="s">
        <v>157</v>
      </c>
      <c r="C14" s="5" t="n">
        <f aca="false">'Ops Compute'!C34</f>
        <v>5228.1</v>
      </c>
      <c r="D14" s="5" t="n">
        <f aca="false">'Ops Compute'!D34</f>
        <v>5226.99</v>
      </c>
      <c r="E14" s="5" t="n">
        <f aca="false">'Ops Compute'!E34</f>
        <v>5228.1</v>
      </c>
      <c r="F14" s="5" t="n">
        <f aca="false">'Ops Compute'!F34</f>
        <v>10455.09</v>
      </c>
      <c r="G14" s="5" t="n">
        <f aca="false">'Ops Compute'!G34</f>
        <v>10455.09</v>
      </c>
      <c r="H14" s="5" t="n">
        <f aca="false">'Ops Compute'!H34</f>
        <v>10455.09</v>
      </c>
      <c r="I14" s="5" t="n">
        <f aca="false">'Ops Compute'!I34</f>
        <v>10455.09</v>
      </c>
      <c r="J14" s="5" t="n">
        <f aca="false">'Ops Compute'!J34</f>
        <v>10455.09</v>
      </c>
      <c r="K14" s="5" t="n">
        <f aca="false">'Ops Compute'!K34</f>
        <v>10455.09</v>
      </c>
      <c r="L14" s="5" t="n">
        <f aca="false">'Ops Compute'!L34</f>
        <v>10455.09</v>
      </c>
    </row>
    <row r="15" customFormat="false" ht="15" hidden="false" customHeight="false" outlineLevel="0" collapsed="false">
      <c r="A15" s="0" t="s">
        <v>287</v>
      </c>
      <c r="B15" s="0" t="s">
        <v>176</v>
      </c>
      <c r="C15" s="5" t="n">
        <f aca="false">'Ops Compute'!C35</f>
        <v>44</v>
      </c>
      <c r="D15" s="5" t="n">
        <f aca="false">'Ops Compute'!D35</f>
        <v>44</v>
      </c>
      <c r="E15" s="5" t="n">
        <f aca="false">'Ops Compute'!E35</f>
        <v>44</v>
      </c>
      <c r="F15" s="5" t="n">
        <f aca="false">'Ops Compute'!F35</f>
        <v>88</v>
      </c>
      <c r="G15" s="5" t="n">
        <f aca="false">'Ops Compute'!G35</f>
        <v>88</v>
      </c>
      <c r="H15" s="5" t="n">
        <f aca="false">'Ops Compute'!H35</f>
        <v>88</v>
      </c>
      <c r="I15" s="5" t="n">
        <f aca="false">'Ops Compute'!I35</f>
        <v>88</v>
      </c>
      <c r="J15" s="5" t="n">
        <f aca="false">'Ops Compute'!J35</f>
        <v>88</v>
      </c>
      <c r="K15" s="5" t="n">
        <f aca="false">'Ops Compute'!K35</f>
        <v>88</v>
      </c>
      <c r="L15" s="5" t="n">
        <f aca="false">'Ops Compute'!L35</f>
        <v>88</v>
      </c>
    </row>
    <row r="16" customFormat="false" ht="15" hidden="false" customHeight="false" outlineLevel="0" collapsed="false">
      <c r="A16" s="0" t="s">
        <v>288</v>
      </c>
      <c r="B16" s="0" t="s">
        <v>176</v>
      </c>
      <c r="C16" s="5" t="n">
        <v>75</v>
      </c>
      <c r="D16" s="5" t="n">
        <v>79</v>
      </c>
      <c r="E16" s="5" t="n">
        <v>83</v>
      </c>
      <c r="F16" s="5" t="n">
        <v>87</v>
      </c>
      <c r="G16" s="5" t="n">
        <v>91</v>
      </c>
      <c r="H16" s="5" t="n">
        <v>96</v>
      </c>
      <c r="I16" s="5" t="n">
        <v>101</v>
      </c>
      <c r="J16" s="5" t="n">
        <v>106</v>
      </c>
      <c r="K16" s="5" t="n">
        <v>111</v>
      </c>
      <c r="L16" s="5" t="n">
        <v>116</v>
      </c>
    </row>
    <row r="17" customFormat="false" ht="15" hidden="false" customHeight="false" outlineLevel="0" collapsed="false">
      <c r="A17" s="0" t="s">
        <v>289</v>
      </c>
      <c r="B17" s="0" t="s">
        <v>176</v>
      </c>
      <c r="C17" s="5" t="n">
        <v>0</v>
      </c>
      <c r="D17" s="5" t="n">
        <f aca="false">MAX(0,D16-C16)</f>
        <v>4</v>
      </c>
      <c r="E17" s="5" t="n">
        <f aca="false">MAX(0,E16-D16)</f>
        <v>4</v>
      </c>
      <c r="F17" s="5" t="n">
        <f aca="false">MAX(0,F16-E16)</f>
        <v>4</v>
      </c>
      <c r="G17" s="5" t="n">
        <f aca="false">MAX(0,G16-F16)</f>
        <v>4</v>
      </c>
      <c r="H17" s="5" t="n">
        <f aca="false">MAX(0,H16-G16)</f>
        <v>5</v>
      </c>
      <c r="I17" s="5" t="n">
        <f aca="false">MAX(0,I16-H16)</f>
        <v>5</v>
      </c>
      <c r="J17" s="5" t="n">
        <f aca="false">MAX(0,J16-I16)</f>
        <v>5</v>
      </c>
      <c r="K17" s="5" t="n">
        <f aca="false">MAX(0,K16-J16)</f>
        <v>5</v>
      </c>
      <c r="L17" s="5" t="n">
        <f aca="false">MAX(0,L16-K16)</f>
        <v>5</v>
      </c>
    </row>
    <row r="18" customFormat="false" ht="15" hidden="false" customHeight="false" outlineLevel="0" collapsed="false">
      <c r="A18" s="0" t="s">
        <v>290</v>
      </c>
      <c r="B18" s="0" t="s">
        <v>176</v>
      </c>
      <c r="C18" s="5" t="n">
        <f aca="false">'Ops Compute'!C27</f>
        <v>82</v>
      </c>
      <c r="D18" s="5" t="n">
        <f aca="false">'Ops Compute'!D27</f>
        <v>133</v>
      </c>
      <c r="E18" s="5" t="n">
        <f aca="false">'Ops Compute'!E27</f>
        <v>-15</v>
      </c>
      <c r="F18" s="5" t="n">
        <f aca="false">'Ops Compute'!F27</f>
        <v>162</v>
      </c>
      <c r="G18" s="5" t="n">
        <f aca="false">'Ops Compute'!G27</f>
        <v>215</v>
      </c>
      <c r="H18" s="5" t="n">
        <f aca="false">'Ops Compute'!H27</f>
        <v>72</v>
      </c>
      <c r="I18" s="5" t="n">
        <f aca="false">'Ops Compute'!I27</f>
        <v>-99</v>
      </c>
      <c r="J18" s="5" t="n">
        <f aca="false">'Ops Compute'!J27</f>
        <v>129</v>
      </c>
      <c r="K18" s="5" t="n">
        <f aca="false">'Ops Compute'!K27</f>
        <v>136</v>
      </c>
      <c r="L18" s="5" t="n">
        <f aca="false">'Ops Compute'!L27</f>
        <v>-128</v>
      </c>
    </row>
    <row r="20" customFormat="false" ht="15" hidden="false" customHeight="false" outlineLevel="0" collapsed="false">
      <c r="A20" s="3" t="s">
        <v>291</v>
      </c>
    </row>
    <row r="21" customFormat="false" ht="15" hidden="false" customHeight="false" outlineLevel="0" collapsed="false">
      <c r="A21" s="0" t="s">
        <v>292</v>
      </c>
      <c r="B21" s="0" t="s">
        <v>97</v>
      </c>
      <c r="C21" s="6" t="n">
        <f aca="false">'Ops Storage'!C51</f>
        <v>352.998947368421</v>
      </c>
      <c r="D21" s="6" t="n">
        <f aca="false">'Ops Storage'!D51</f>
        <v>543.416447368421</v>
      </c>
      <c r="E21" s="6" t="n">
        <f aca="false">'Ops Storage'!E51</f>
        <v>758.901647368421</v>
      </c>
      <c r="F21" s="6" t="n">
        <f aca="false">'Ops Storage'!F51</f>
        <v>840.047447368421</v>
      </c>
      <c r="G21" s="6" t="n">
        <f aca="false">'Ops Storage'!G51</f>
        <v>907.872347368421</v>
      </c>
      <c r="H21" s="6" t="n">
        <f aca="false">'Ops Storage'!H51</f>
        <v>971.033747368421</v>
      </c>
      <c r="I21" s="6" t="n">
        <f aca="false">'Ops Storage'!I51</f>
        <v>1031.48314736842</v>
      </c>
      <c r="J21" s="6" t="n">
        <f aca="false">'Ops Storage'!J51</f>
        <v>1090.83904736842</v>
      </c>
      <c r="K21" s="6" t="n">
        <f aca="false">'Ops Storage'!K51</f>
        <v>1147.38604736842</v>
      </c>
      <c r="L21" s="6" t="n">
        <f aca="false">'Ops Storage'!L51</f>
        <v>1202.16904736842</v>
      </c>
    </row>
    <row r="22" customFormat="false" ht="15" hidden="false" customHeight="false" outlineLevel="0" collapsed="false">
      <c r="A22" s="0" t="s">
        <v>293</v>
      </c>
      <c r="B22" s="0" t="s">
        <v>97</v>
      </c>
      <c r="C22" s="6" t="n">
        <f aca="false">C21</f>
        <v>352.998947368421</v>
      </c>
      <c r="D22" s="6" t="n">
        <f aca="false">MAX(0,D21-C21)</f>
        <v>190.4175</v>
      </c>
      <c r="E22" s="6" t="n">
        <f aca="false">MAX(0,E21-D21)</f>
        <v>215.4852</v>
      </c>
      <c r="F22" s="6" t="n">
        <f aca="false">MAX(0,F21-E21)</f>
        <v>81.1458</v>
      </c>
      <c r="G22" s="6" t="n">
        <f aca="false">MAX(0,G21-F21)</f>
        <v>67.8249000000001</v>
      </c>
      <c r="H22" s="6" t="n">
        <f aca="false">MAX(0,H21-G21)</f>
        <v>63.1614</v>
      </c>
      <c r="I22" s="6" t="n">
        <f aca="false">MAX(0,I21-H21)</f>
        <v>60.4494</v>
      </c>
      <c r="J22" s="6" t="n">
        <f aca="false">MAX(0,J21-I21)</f>
        <v>59.3559</v>
      </c>
      <c r="K22" s="6" t="n">
        <f aca="false">MAX(0,K21-J21)</f>
        <v>56.547</v>
      </c>
      <c r="L22" s="6" t="n">
        <f aca="false">MAX(0,L21-K21)</f>
        <v>54.7829999999999</v>
      </c>
    </row>
    <row r="23" customFormat="false" ht="15" hidden="false" customHeight="false" outlineLevel="0" collapsed="false">
      <c r="A23" s="0" t="s">
        <v>294</v>
      </c>
      <c r="B23" s="0" t="s">
        <v>97</v>
      </c>
      <c r="C23" s="6" t="n">
        <f aca="false">'Ops Storage'!C53</f>
        <v>15985.4688458073</v>
      </c>
      <c r="D23" s="6" t="n">
        <f aca="false">'Ops Storage'!D53</f>
        <v>20248.0746458073</v>
      </c>
      <c r="E23" s="6" t="n">
        <f aca="false">'Ops Storage'!E53</f>
        <v>24442.3698458073</v>
      </c>
      <c r="F23" s="6" t="n">
        <f aca="false">'Ops Storage'!F53</f>
        <v>28561.0981658073</v>
      </c>
      <c r="G23" s="6" t="n">
        <f aca="false">'Ops Storage'!G53</f>
        <v>32488.8299258073</v>
      </c>
      <c r="H23" s="6" t="n">
        <f aca="false">'Ops Storage'!H53</f>
        <v>36526.7641658073</v>
      </c>
      <c r="I23" s="6" t="n">
        <f aca="false">'Ops Storage'!I53</f>
        <v>40718.8439258073</v>
      </c>
      <c r="J23" s="6" t="n">
        <f aca="false">'Ops Storage'!J53</f>
        <v>45053.8336058073</v>
      </c>
      <c r="K23" s="6" t="n">
        <f aca="false">'Ops Storage'!K53</f>
        <v>49482.3318458073</v>
      </c>
      <c r="L23" s="6" t="n">
        <f aca="false">'Ops Storage'!L53</f>
        <v>54057.2226458073</v>
      </c>
    </row>
    <row r="24" customFormat="false" ht="15" hidden="false" customHeight="false" outlineLevel="0" collapsed="false">
      <c r="A24" s="0" t="s">
        <v>295</v>
      </c>
      <c r="B24" s="0" t="s">
        <v>97</v>
      </c>
      <c r="C24" s="6" t="n">
        <f aca="false">C23</f>
        <v>15985.4688458073</v>
      </c>
      <c r="D24" s="6" t="n">
        <f aca="false">MAX(0,D23-C23)</f>
        <v>4262.6058</v>
      </c>
      <c r="E24" s="6" t="n">
        <f aca="false">MAX(0,E23-D23)</f>
        <v>4194.2952</v>
      </c>
      <c r="F24" s="6" t="n">
        <f aca="false">MAX(0,F23-E23)</f>
        <v>4118.72832</v>
      </c>
      <c r="G24" s="6" t="n">
        <f aca="false">MAX(0,G23-F23)</f>
        <v>3927.73176</v>
      </c>
      <c r="H24" s="6" t="n">
        <f aca="false">MAX(0,H23-G23)</f>
        <v>4037.93424</v>
      </c>
      <c r="I24" s="6" t="n">
        <f aca="false">MAX(0,I23-H23)</f>
        <v>4192.07976</v>
      </c>
      <c r="J24" s="6" t="n">
        <f aca="false">MAX(0,J23-I23)</f>
        <v>4334.98968</v>
      </c>
      <c r="K24" s="6" t="n">
        <f aca="false">MAX(0,K23-J23)</f>
        <v>4428.49824</v>
      </c>
      <c r="L24" s="6" t="n">
        <f aca="false">MAX(0,L23-K23)</f>
        <v>4574.8908</v>
      </c>
    </row>
    <row r="25" customFormat="false" ht="15" hidden="false" customHeight="false" outlineLevel="0" collapsed="false">
      <c r="A25" s="0" t="s">
        <v>296</v>
      </c>
      <c r="B25" s="0" t="s">
        <v>97</v>
      </c>
      <c r="C25" s="6" t="n">
        <f aca="false">'Ops Storage'!C61</f>
        <v>7875.506281668</v>
      </c>
      <c r="D25" s="6" t="n">
        <f aca="false">'Ops Storage'!D61</f>
        <v>15751.012563336</v>
      </c>
      <c r="E25" s="6" t="n">
        <f aca="false">'Ops Storage'!E61</f>
        <v>20865.816845004</v>
      </c>
      <c r="F25" s="6" t="n">
        <f aca="false">'Ops Storage'!F61</f>
        <v>21982.821126672</v>
      </c>
      <c r="G25" s="6" t="n">
        <f aca="false">'Ops Storage'!G61</f>
        <v>23099.82540834</v>
      </c>
      <c r="H25" s="6" t="n">
        <f aca="false">'Ops Storage'!H61</f>
        <v>24216.829690008</v>
      </c>
      <c r="I25" s="6" t="n">
        <f aca="false">'Ops Storage'!I61</f>
        <v>25333.833971676</v>
      </c>
      <c r="J25" s="6" t="n">
        <f aca="false">'Ops Storage'!J61</f>
        <v>26450.838253344</v>
      </c>
      <c r="K25" s="6" t="n">
        <f aca="false">'Ops Storage'!K61</f>
        <v>27567.842535012</v>
      </c>
      <c r="L25" s="6" t="n">
        <f aca="false">'Ops Storage'!L61</f>
        <v>28684.84681668</v>
      </c>
    </row>
    <row r="26" customFormat="false" ht="15" hidden="false" customHeight="false" outlineLevel="0" collapsed="false">
      <c r="A26" s="0" t="s">
        <v>297</v>
      </c>
      <c r="B26" s="0" t="s">
        <v>97</v>
      </c>
      <c r="C26" s="6" t="n">
        <f aca="false">C25</f>
        <v>7875.506281668</v>
      </c>
      <c r="D26" s="6" t="n">
        <f aca="false">MAX(0,D25-C25)</f>
        <v>7875.506281668</v>
      </c>
      <c r="E26" s="6" t="n">
        <f aca="false">MAX(0,E25-D25)</f>
        <v>5114.804281668</v>
      </c>
      <c r="F26" s="6" t="n">
        <f aca="false">MAX(0,F25-E25)</f>
        <v>1117.004281668</v>
      </c>
      <c r="G26" s="6" t="n">
        <f aca="false">MAX(0,G25-F25)</f>
        <v>1117.004281668</v>
      </c>
      <c r="H26" s="6" t="n">
        <f aca="false">MAX(0,H25-G25)</f>
        <v>1117.004281668</v>
      </c>
      <c r="I26" s="6" t="n">
        <f aca="false">MAX(0,I25-H25)</f>
        <v>1117.004281668</v>
      </c>
      <c r="J26" s="6" t="n">
        <f aca="false">MAX(0,J25-I25)</f>
        <v>1117.004281668</v>
      </c>
      <c r="K26" s="6" t="n">
        <f aca="false">MAX(0,K25-J25)</f>
        <v>1117.004281668</v>
      </c>
      <c r="L26" s="6" t="n">
        <f aca="false">MAX(0,L25-K25)</f>
        <v>1117.004281668</v>
      </c>
    </row>
    <row r="27" customFormat="false" ht="15" hidden="false" customHeight="false" outlineLevel="0" collapsed="false">
      <c r="A27" s="0" t="s">
        <v>298</v>
      </c>
      <c r="B27" s="0" t="s">
        <v>97</v>
      </c>
      <c r="C27" s="6" t="n">
        <f aca="false">'Ops Storage'!C55</f>
        <v>3509.5635</v>
      </c>
      <c r="D27" s="6" t="n">
        <f aca="false">'Ops Storage'!D55</f>
        <v>9257.301</v>
      </c>
      <c r="E27" s="6" t="n">
        <f aca="false">'Ops Storage'!E55</f>
        <v>17275.2168</v>
      </c>
      <c r="F27" s="6" t="n">
        <f aca="false">'Ops Storage'!F55</f>
        <v>24143.7621</v>
      </c>
      <c r="G27" s="6" t="n">
        <f aca="false">'Ops Storage'!G55</f>
        <v>31276.5666</v>
      </c>
      <c r="H27" s="6" t="n">
        <f aca="false">'Ops Storage'!H55</f>
        <v>38733.7338</v>
      </c>
      <c r="I27" s="6" t="n">
        <f aca="false">'Ops Storage'!I55</f>
        <v>46554.7392</v>
      </c>
      <c r="J27" s="6" t="n">
        <f aca="false">'Ops Storage'!J55</f>
        <v>54716.2197</v>
      </c>
      <c r="K27" s="6" t="n">
        <f aca="false">'Ops Storage'!K55</f>
        <v>63205.9791</v>
      </c>
      <c r="L27" s="6" t="n">
        <f aca="false">'Ops Storage'!L55</f>
        <v>72016.5117</v>
      </c>
    </row>
    <row r="28" customFormat="false" ht="15" hidden="false" customHeight="false" outlineLevel="0" collapsed="false">
      <c r="A28" s="0" t="s">
        <v>299</v>
      </c>
      <c r="B28" s="0" t="s">
        <v>97</v>
      </c>
      <c r="C28" s="6" t="n">
        <f aca="false">C27</f>
        <v>3509.5635</v>
      </c>
      <c r="D28" s="6" t="n">
        <f aca="false">MAX(0,D27-C27)</f>
        <v>5747.7375</v>
      </c>
      <c r="E28" s="6" t="n">
        <f aca="false">MAX(0,E27-D27)</f>
        <v>8017.9158</v>
      </c>
      <c r="F28" s="6" t="n">
        <f aca="false">MAX(0,F27-E27)</f>
        <v>6868.5453</v>
      </c>
      <c r="G28" s="6" t="n">
        <f aca="false">MAX(0,G27-F27)</f>
        <v>7132.8045</v>
      </c>
      <c r="H28" s="6" t="n">
        <f aca="false">MAX(0,H27-G27)</f>
        <v>7457.1672</v>
      </c>
      <c r="I28" s="6" t="n">
        <f aca="false">MAX(0,I27-H27)</f>
        <v>7821.0054</v>
      </c>
      <c r="J28" s="6" t="n">
        <f aca="false">MAX(0,J27-I27)</f>
        <v>8161.48050000001</v>
      </c>
      <c r="K28" s="6" t="n">
        <f aca="false">MAX(0,K27-J27)</f>
        <v>8489.7594</v>
      </c>
      <c r="L28" s="6" t="n">
        <f aca="false">MAX(0,L27-K27)</f>
        <v>8810.5326</v>
      </c>
    </row>
    <row r="30" customFormat="false" ht="15" hidden="false" customHeight="false" outlineLevel="0" collapsed="false">
      <c r="A30" s="12" t="s">
        <v>300</v>
      </c>
      <c r="B30" s="0" t="s">
        <v>97</v>
      </c>
      <c r="C30" s="6" t="n">
        <f aca="false">C21+C23+C25+C27</f>
        <v>27723.5375748437</v>
      </c>
      <c r="D30" s="6" t="n">
        <f aca="false">D21+D23+D25+D27</f>
        <v>45799.8046565117</v>
      </c>
      <c r="E30" s="6" t="n">
        <f aca="false">E21+E23+E25+E27</f>
        <v>63342.3051381797</v>
      </c>
      <c r="F30" s="6" t="n">
        <f aca="false">F21+F23+F25+F27</f>
        <v>75527.7288398477</v>
      </c>
      <c r="G30" s="6" t="n">
        <f aca="false">G21+G23+G25+G27</f>
        <v>87773.0942815157</v>
      </c>
      <c r="H30" s="6" t="n">
        <f aca="false">H21+H23+H25+H27</f>
        <v>100448.361403184</v>
      </c>
      <c r="I30" s="6" t="n">
        <f aca="false">I21+I23+I25+I27</f>
        <v>113638.900244852</v>
      </c>
      <c r="J30" s="6" t="n">
        <f aca="false">J21+J23+J25+J27</f>
        <v>127311.73060652</v>
      </c>
      <c r="K30" s="6" t="n">
        <f aca="false">K21+K23+K25+K27</f>
        <v>141403.539528188</v>
      </c>
      <c r="L30" s="6" t="n">
        <f aca="false">L21+L23+L25+L27</f>
        <v>155960.750209856</v>
      </c>
    </row>
    <row r="31" customFormat="false" ht="15" hidden="false" customHeight="false" outlineLevel="0" collapsed="false">
      <c r="A31" s="0" t="s">
        <v>301</v>
      </c>
      <c r="B31" s="0" t="s">
        <v>97</v>
      </c>
      <c r="C31" s="6" t="n">
        <f aca="false">30000+C32</f>
        <v>30000</v>
      </c>
      <c r="D31" s="6" t="n">
        <f aca="false">C31+D32</f>
        <v>45799.8046565117</v>
      </c>
      <c r="E31" s="6" t="n">
        <f aca="false">D31+E32</f>
        <v>63342.3051381797</v>
      </c>
      <c r="F31" s="6" t="n">
        <f aca="false">E31+F32</f>
        <v>75527.7288398477</v>
      </c>
      <c r="G31" s="6" t="n">
        <f aca="false">F31+G32</f>
        <v>87773.0942815157</v>
      </c>
      <c r="H31" s="6" t="n">
        <f aca="false">G31+H32</f>
        <v>100448.361403184</v>
      </c>
      <c r="I31" s="6" t="n">
        <f aca="false">H31+I32</f>
        <v>113638.900244852</v>
      </c>
      <c r="J31" s="6" t="n">
        <f aca="false">I31+J32</f>
        <v>127311.73060652</v>
      </c>
      <c r="K31" s="6" t="n">
        <f aca="false">J31+K32</f>
        <v>141403.539528188</v>
      </c>
      <c r="L31" s="6" t="n">
        <f aca="false">K31+L32</f>
        <v>155960.750209856</v>
      </c>
    </row>
    <row r="32" customFormat="false" ht="15" hidden="false" customHeight="false" outlineLevel="0" collapsed="false">
      <c r="A32" s="12" t="s">
        <v>302</v>
      </c>
      <c r="B32" s="0" t="s">
        <v>97</v>
      </c>
      <c r="C32" s="6" t="n">
        <f aca="false">MAX(0,C30-30000)</f>
        <v>0</v>
      </c>
      <c r="D32" s="6" t="n">
        <f aca="false">MAX(0,D30-C31)</f>
        <v>15799.8046565117</v>
      </c>
      <c r="E32" s="6" t="n">
        <f aca="false">MAX(0,E30-D31)</f>
        <v>17542.500481668</v>
      </c>
      <c r="F32" s="6" t="n">
        <f aca="false">MAX(0,F30-E31)</f>
        <v>12185.423701668</v>
      </c>
      <c r="G32" s="6" t="n">
        <f aca="false">MAX(0,G30-F31)</f>
        <v>12245.365441668</v>
      </c>
      <c r="H32" s="6" t="n">
        <f aca="false">MAX(0,H30-G31)</f>
        <v>12675.267121668</v>
      </c>
      <c r="I32" s="6" t="n">
        <f aca="false">MAX(0,I30-H31)</f>
        <v>13190.538841668</v>
      </c>
      <c r="J32" s="6" t="n">
        <f aca="false">MAX(0,J30-I31)</f>
        <v>13672.830361668</v>
      </c>
      <c r="K32" s="6" t="n">
        <f aca="false">MAX(0,K30-J31)</f>
        <v>14091.808921668</v>
      </c>
      <c r="L32" s="6" t="n">
        <f aca="false">MAX(0,L30-K31)</f>
        <v>14557.210681668</v>
      </c>
    </row>
    <row r="33" customFormat="false" ht="15" hidden="false" customHeight="false" outlineLevel="0" collapsed="false">
      <c r="A33" s="0" t="s">
        <v>303</v>
      </c>
      <c r="B33" s="0" t="s">
        <v>304</v>
      </c>
      <c r="C33" s="6" t="n">
        <f aca="false">C32/1000</f>
        <v>0</v>
      </c>
      <c r="D33" s="6" t="n">
        <f aca="false">D32/1000</f>
        <v>15.7998046565117</v>
      </c>
      <c r="E33" s="6" t="n">
        <f aca="false">E32/1000</f>
        <v>17.542500481668</v>
      </c>
      <c r="F33" s="6" t="n">
        <f aca="false">F32/1000</f>
        <v>12.185423701668</v>
      </c>
      <c r="G33" s="6" t="n">
        <f aca="false">G32/1000</f>
        <v>12.245365441668</v>
      </c>
      <c r="H33" s="6" t="n">
        <f aca="false">H32/1000</f>
        <v>12.675267121668</v>
      </c>
      <c r="I33" s="6" t="n">
        <f aca="false">I32/1000</f>
        <v>13.190538841668</v>
      </c>
      <c r="J33" s="6" t="n">
        <f aca="false">J32/1000</f>
        <v>13.672830361668</v>
      </c>
      <c r="K33" s="6" t="n">
        <f aca="false">K32/1000</f>
        <v>14.091808921668</v>
      </c>
      <c r="L33" s="6" t="n">
        <f aca="false">L32/1000</f>
        <v>14.557210681668</v>
      </c>
    </row>
    <row r="35" customFormat="false" ht="15" hidden="false" customHeight="false" outlineLevel="0" collapsed="false">
      <c r="A35" s="0" t="s">
        <v>305</v>
      </c>
      <c r="B35" s="0" t="s">
        <v>97</v>
      </c>
      <c r="C35" s="6" t="n">
        <f aca="false">'Ops Storage'!C66</f>
        <v>14735.5796274753</v>
      </c>
      <c r="D35" s="6" t="n">
        <f aca="false">'Ops Storage'!D66</f>
        <v>31461.5935549506</v>
      </c>
      <c r="E35" s="6" t="n">
        <f aca="false">'Ops Storage'!E66</f>
        <v>50086.6566824259</v>
      </c>
      <c r="F35" s="6" t="n">
        <f aca="false">'Ops Storage'!F66</f>
        <v>70448.1745299011</v>
      </c>
      <c r="G35" s="6" t="n">
        <f aca="false">'Ops Storage'!G66</f>
        <v>92214.3143373764</v>
      </c>
      <c r="H35" s="6" t="n">
        <f aca="false">'Ops Storage'!H66</f>
        <v>115403.443184852</v>
      </c>
      <c r="I35" s="6" t="n">
        <f aca="false">'Ops Storage'!I66</f>
        <v>140041.251992327</v>
      </c>
      <c r="J35" s="6" t="n">
        <f aca="false">'Ops Storage'!J66</f>
        <v>166151.559079802</v>
      </c>
      <c r="K35" s="6" t="n">
        <f aca="false">'Ops Storage'!K66</f>
        <v>193749.949207278</v>
      </c>
      <c r="L35" s="6" t="n">
        <f aca="false">'Ops Storage'!L66</f>
        <v>222860.821134753</v>
      </c>
    </row>
    <row r="36" customFormat="false" ht="15" hidden="false" customHeight="false" outlineLevel="0" collapsed="false">
      <c r="A36" s="12" t="s">
        <v>306</v>
      </c>
      <c r="B36" s="0" t="s">
        <v>97</v>
      </c>
      <c r="C36" s="6" t="n">
        <f aca="false">C35</f>
        <v>14735.5796274753</v>
      </c>
      <c r="D36" s="6" t="n">
        <f aca="false">MAX(0,D35-C35)</f>
        <v>16726.0139274753</v>
      </c>
      <c r="E36" s="6" t="n">
        <f aca="false">MAX(0,E35-D35)</f>
        <v>18625.0631274753</v>
      </c>
      <c r="F36" s="6" t="n">
        <f aca="false">MAX(0,F35-E35)</f>
        <v>20361.5178474753</v>
      </c>
      <c r="G36" s="6" t="n">
        <f aca="false">MAX(0,G35-F35)</f>
        <v>21766.1398074753</v>
      </c>
      <c r="H36" s="6" t="n">
        <f aca="false">MAX(0,H35-G35)</f>
        <v>23189.1288474753</v>
      </c>
      <c r="I36" s="6" t="n">
        <f aca="false">MAX(0,I35-H35)</f>
        <v>24637.8088074753</v>
      </c>
      <c r="J36" s="6" t="n">
        <f aca="false">MAX(0,J35-I35)</f>
        <v>26110.3070874753</v>
      </c>
      <c r="K36" s="6" t="n">
        <f aca="false">MAX(0,K35-J35)</f>
        <v>27598.3901274753</v>
      </c>
      <c r="L36" s="6" t="n">
        <f aca="false">MAX(0,L35-K35)</f>
        <v>29110.8719274753</v>
      </c>
    </row>
    <row r="37" customFormat="false" ht="15" hidden="false" customHeight="false" outlineLevel="0" collapsed="false">
      <c r="A37" s="0" t="s">
        <v>307</v>
      </c>
      <c r="B37" s="0" t="s">
        <v>304</v>
      </c>
      <c r="C37" s="6" t="n">
        <f aca="false">C36/1000</f>
        <v>14.7355796274753</v>
      </c>
      <c r="D37" s="6" t="n">
        <f aca="false">D36/1000</f>
        <v>16.7260139274753</v>
      </c>
      <c r="E37" s="6" t="n">
        <f aca="false">E36/1000</f>
        <v>18.6250631274753</v>
      </c>
      <c r="F37" s="6" t="n">
        <f aca="false">F36/1000</f>
        <v>20.3615178474753</v>
      </c>
      <c r="G37" s="6" t="n">
        <f aca="false">G36/1000</f>
        <v>21.7661398074753</v>
      </c>
      <c r="H37" s="6" t="n">
        <f aca="false">H36/1000</f>
        <v>23.1891288474753</v>
      </c>
      <c r="I37" s="6" t="n">
        <f aca="false">I36/1000</f>
        <v>24.6378088074753</v>
      </c>
      <c r="J37" s="6" t="n">
        <f aca="false">J36/1000</f>
        <v>26.1103070874753</v>
      </c>
      <c r="K37" s="6" t="n">
        <f aca="false">K36/1000</f>
        <v>27.5983901274753</v>
      </c>
      <c r="L37" s="6" t="n">
        <f aca="false">L36/1000</f>
        <v>29.1108719274753</v>
      </c>
    </row>
    <row r="39" customFormat="false" ht="15" hidden="false" customHeight="false" outlineLevel="0" collapsed="false">
      <c r="A39" s="13" t="s">
        <v>308</v>
      </c>
      <c r="B39" s="0" t="s">
        <v>97</v>
      </c>
      <c r="C39" s="6" t="n">
        <f aca="false">C32+C36</f>
        <v>14735.5796274753</v>
      </c>
      <c r="D39" s="6" t="n">
        <f aca="false">D32+D36</f>
        <v>32525.818583987</v>
      </c>
      <c r="E39" s="6" t="n">
        <f aca="false">E32+E36</f>
        <v>36167.5636091433</v>
      </c>
      <c r="F39" s="6" t="n">
        <f aca="false">F32+F36</f>
        <v>32546.9415491433</v>
      </c>
      <c r="G39" s="6" t="n">
        <f aca="false">G32+G36</f>
        <v>34011.5052491433</v>
      </c>
      <c r="H39" s="6" t="n">
        <f aca="false">H32+H36</f>
        <v>35864.3959691433</v>
      </c>
      <c r="I39" s="6" t="n">
        <f aca="false">I32+I36</f>
        <v>37828.3476491433</v>
      </c>
      <c r="J39" s="6" t="n">
        <f aca="false">J32+J36</f>
        <v>39783.1374491433</v>
      </c>
      <c r="K39" s="6" t="n">
        <f aca="false">K32+K36</f>
        <v>41690.1990491433</v>
      </c>
      <c r="L39" s="6" t="n">
        <f aca="false">L32+L36</f>
        <v>43668.0826091433</v>
      </c>
    </row>
    <row r="40" customFormat="false" ht="15" hidden="false" customHeight="false" outlineLevel="0" collapsed="false">
      <c r="A40" s="0" t="s">
        <v>309</v>
      </c>
      <c r="B40" s="0" t="s">
        <v>304</v>
      </c>
      <c r="C40" s="6" t="n">
        <f aca="false">C39/1000</f>
        <v>14.7355796274753</v>
      </c>
      <c r="D40" s="6" t="n">
        <f aca="false">D39/1000</f>
        <v>32.525818583987</v>
      </c>
      <c r="E40" s="6" t="n">
        <f aca="false">E39/1000</f>
        <v>36.1675636091433</v>
      </c>
      <c r="F40" s="6" t="n">
        <f aca="false">F39/1000</f>
        <v>32.5469415491433</v>
      </c>
      <c r="G40" s="6" t="n">
        <f aca="false">G39/1000</f>
        <v>34.0115052491433</v>
      </c>
      <c r="H40" s="6" t="n">
        <f aca="false">H39/1000</f>
        <v>35.8643959691433</v>
      </c>
      <c r="I40" s="6" t="n">
        <f aca="false">I39/1000</f>
        <v>37.8283476491433</v>
      </c>
      <c r="J40" s="6" t="n">
        <f aca="false">J39/1000</f>
        <v>39.7831374491433</v>
      </c>
      <c r="K40" s="6" t="n">
        <f aca="false">K39/1000</f>
        <v>41.6901990491433</v>
      </c>
      <c r="L40" s="6" t="n">
        <f aca="false">L39/1000</f>
        <v>43.6680826091433</v>
      </c>
    </row>
    <row r="42" customFormat="false" ht="16.15" hidden="false" customHeight="false" outlineLevel="0" collapsed="false">
      <c r="A42" s="10" t="s">
        <v>310</v>
      </c>
    </row>
    <row r="43" customFormat="false" ht="15" hidden="false" customHeight="false" outlineLevel="0" collapsed="false">
      <c r="A43" s="0" t="s">
        <v>311</v>
      </c>
      <c r="B43" s="0" t="n">
        <v>3</v>
      </c>
    </row>
    <row r="44" customFormat="false" ht="15" hidden="false" customHeight="false" outlineLevel="0" collapsed="false">
      <c r="A44" s="0" t="s">
        <v>312</v>
      </c>
      <c r="B44" s="0" t="n">
        <v>9</v>
      </c>
    </row>
    <row r="45" customFormat="false" ht="15" hidden="false" customHeight="false" outlineLevel="0" collapsed="false">
      <c r="A45" s="0" t="s">
        <v>313</v>
      </c>
      <c r="B45" s="0" t="s">
        <v>314</v>
      </c>
    </row>
    <row r="47" customFormat="false" ht="15" hidden="false" customHeight="false" outlineLevel="0" collapsed="false">
      <c r="A47" s="0" t="s">
        <v>315</v>
      </c>
      <c r="B47" s="5" t="n">
        <f aca="false">ROUND('Ops Compute'!C3*0.1,0)</f>
        <v>1657920</v>
      </c>
    </row>
    <row r="48" customFormat="false" ht="15" hidden="false" customHeight="false" outlineLevel="0" collapsed="false">
      <c r="A48" s="0" t="s">
        <v>316</v>
      </c>
      <c r="B48" s="5" t="n">
        <f aca="false">ROUND(B47/4800*1.3635,0)</f>
        <v>471</v>
      </c>
    </row>
    <row r="49" customFormat="false" ht="15" hidden="false" customHeight="false" outlineLevel="0" collapsed="false">
      <c r="A49" s="0" t="s">
        <v>317</v>
      </c>
      <c r="B49" s="5" t="n">
        <v>17400</v>
      </c>
    </row>
    <row r="50" customFormat="false" ht="15" hidden="false" customHeight="false" outlineLevel="0" collapsed="false">
      <c r="A50" s="0" t="s">
        <v>318</v>
      </c>
      <c r="B50" s="0" t="str">
        <f aca="false">IF(B49&gt;=B48,"Sufficient — no purchase needed","Gap: "&amp;TEXT(B48-B49,"#,##0")&amp;" cores")</f>
        <v>Sufficient — no purchase needed</v>
      </c>
    </row>
    <row r="52" customFormat="false" ht="15" hidden="false" customHeight="false" outlineLevel="0" collapsed="false">
      <c r="A52" s="0" t="s">
        <v>319</v>
      </c>
      <c r="B52" s="0" t="n">
        <v>30</v>
      </c>
    </row>
    <row r="53" customFormat="false" ht="15" hidden="false" customHeight="false" outlineLevel="0" collapsed="false">
      <c r="A53" s="0" t="s">
        <v>320</v>
      </c>
      <c r="B53" s="6" t="n">
        <f aca="false">C30</f>
        <v>27723.5375748437</v>
      </c>
    </row>
    <row r="54" customFormat="false" ht="15" hidden="false" customHeight="false" outlineLevel="0" collapsed="false">
      <c r="A54" s="0" t="s">
        <v>321</v>
      </c>
      <c r="B54" s="6" t="n">
        <f aca="false">C32</f>
        <v>0</v>
      </c>
    </row>
    <row r="55" customFormat="false" ht="15" hidden="false" customHeight="false" outlineLevel="0" collapsed="false">
      <c r="A55" s="0" t="s">
        <v>322</v>
      </c>
      <c r="B55" s="14" t="n">
        <f aca="false">B54/1000</f>
        <v>0</v>
      </c>
    </row>
    <row r="56" customFormat="false" ht="15" hidden="false" customHeight="false" outlineLevel="0" collapsed="false">
      <c r="A56" s="0" t="s">
        <v>323</v>
      </c>
      <c r="B56" s="6" t="n">
        <f aca="false">C36</f>
        <v>14735.5796274753</v>
      </c>
    </row>
    <row r="58" customFormat="false" ht="15" hidden="false" customHeight="false" outlineLevel="0" collapsed="false">
      <c r="A58" s="15" t="s">
        <v>324</v>
      </c>
    </row>
    <row r="59" customFormat="false" ht="15" hidden="false" customHeight="false" outlineLevel="0" collapsed="false">
      <c r="A59" s="0" t="s">
        <v>325</v>
      </c>
      <c r="B59" s="5" t="n">
        <f aca="false">C15</f>
        <v>44</v>
      </c>
    </row>
    <row r="60" customFormat="false" ht="15" hidden="false" customHeight="false" outlineLevel="0" collapsed="false">
      <c r="A60" s="0" t="s">
        <v>326</v>
      </c>
      <c r="B60" s="5" t="n">
        <f aca="false">C17</f>
        <v>0</v>
      </c>
    </row>
    <row r="61" customFormat="false" ht="15" hidden="false" customHeight="false" outlineLevel="0" collapsed="false">
      <c r="A61" s="0" t="s">
        <v>327</v>
      </c>
      <c r="B61" s="5" t="n">
        <f aca="false">C18</f>
        <v>82</v>
      </c>
    </row>
    <row r="62" customFormat="false" ht="15" hidden="false" customHeight="false" outlineLevel="0" collapsed="false">
      <c r="A62" s="0" t="s">
        <v>328</v>
      </c>
      <c r="B62" s="14" t="n">
        <f aca="false">B55</f>
        <v>0</v>
      </c>
    </row>
    <row r="63" customFormat="false" ht="15" hidden="false" customHeight="false" outlineLevel="0" collapsed="false">
      <c r="A63" s="0" t="s">
        <v>329</v>
      </c>
      <c r="B63" s="14" t="n">
        <f aca="false">B56/1000</f>
        <v>14.7355796274753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12" min="3" style="0" width="18"/>
  </cols>
  <sheetData>
    <row r="1" customFormat="false" ht="17.3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255</v>
      </c>
      <c r="B2" s="2" t="s">
        <v>79</v>
      </c>
      <c r="C2" s="2" t="s">
        <v>80</v>
      </c>
      <c r="D2" s="2" t="s">
        <v>81</v>
      </c>
      <c r="E2" s="2" t="s">
        <v>82</v>
      </c>
      <c r="F2" s="2" t="s">
        <v>83</v>
      </c>
      <c r="G2" s="2" t="s">
        <v>84</v>
      </c>
      <c r="H2" s="2" t="s">
        <v>85</v>
      </c>
      <c r="I2" s="2" t="s">
        <v>86</v>
      </c>
      <c r="J2" s="2" t="s">
        <v>87</v>
      </c>
      <c r="K2" s="2" t="s">
        <v>88</v>
      </c>
      <c r="L2" s="2" t="s">
        <v>89</v>
      </c>
    </row>
    <row r="3" customFormat="false" ht="15" hidden="false" customHeight="false" outlineLevel="0" collapsed="false">
      <c r="A3" s="0" t="s">
        <v>256</v>
      </c>
      <c r="C3" s="0" t="s">
        <v>257</v>
      </c>
      <c r="D3" s="0" t="s">
        <v>258</v>
      </c>
      <c r="E3" s="0" t="s">
        <v>259</v>
      </c>
      <c r="F3" s="0" t="s">
        <v>260</v>
      </c>
      <c r="G3" s="0" t="s">
        <v>261</v>
      </c>
      <c r="H3" s="0" t="s">
        <v>262</v>
      </c>
      <c r="I3" s="0" t="s">
        <v>263</v>
      </c>
      <c r="J3" s="0" t="s">
        <v>264</v>
      </c>
      <c r="K3" s="0" t="s">
        <v>265</v>
      </c>
      <c r="L3" s="0" t="s">
        <v>266</v>
      </c>
    </row>
    <row r="4" customFormat="false" ht="15" hidden="false" customHeight="false" outlineLevel="0" collapsed="false">
      <c r="A4" s="0" t="s">
        <v>267</v>
      </c>
      <c r="C4" s="0" t="s">
        <v>268</v>
      </c>
      <c r="D4" s="0" t="s">
        <v>269</v>
      </c>
      <c r="E4" s="0" t="s">
        <v>270</v>
      </c>
      <c r="F4" s="0" t="s">
        <v>271</v>
      </c>
      <c r="G4" s="0" t="s">
        <v>272</v>
      </c>
      <c r="H4" s="0" t="s">
        <v>273</v>
      </c>
      <c r="I4" s="0" t="s">
        <v>274</v>
      </c>
      <c r="J4" s="0" t="s">
        <v>275</v>
      </c>
      <c r="K4" s="0" t="s">
        <v>276</v>
      </c>
      <c r="L4" s="0" t="s">
        <v>277</v>
      </c>
    </row>
    <row r="6" customFormat="false" ht="15" hidden="false" customHeight="false" outlineLevel="0" collapsed="false">
      <c r="A6" s="3" t="s">
        <v>331</v>
      </c>
    </row>
    <row r="7" customFormat="false" ht="15" hidden="false" customHeight="false" outlineLevel="0" collapsed="false">
      <c r="A7" s="0" t="s">
        <v>332</v>
      </c>
      <c r="B7" s="0" t="s">
        <v>333</v>
      </c>
      <c r="C7" s="5" t="n">
        <f aca="false">'Ops Compute'!C3</f>
        <v>16579199</v>
      </c>
      <c r="D7" s="5" t="n">
        <f aca="false">'Ops Compute'!D3</f>
        <v>33158398</v>
      </c>
      <c r="E7" s="5" t="n">
        <f aca="false">'Ops Compute'!E3</f>
        <v>49737597</v>
      </c>
      <c r="F7" s="5" t="n">
        <f aca="false">'Ops Compute'!F3</f>
        <v>66316796</v>
      </c>
      <c r="G7" s="5" t="n">
        <f aca="false">'Ops Compute'!G3</f>
        <v>82895995</v>
      </c>
      <c r="H7" s="5" t="n">
        <f aca="false">'Ops Compute'!H3</f>
        <v>99475194</v>
      </c>
      <c r="I7" s="5" t="n">
        <f aca="false">'Ops Compute'!I3</f>
        <v>116054393</v>
      </c>
      <c r="J7" s="5" t="n">
        <f aca="false">'Ops Compute'!J3</f>
        <v>132633592</v>
      </c>
      <c r="K7" s="5" t="n">
        <f aca="false">'Ops Compute'!K3</f>
        <v>149212791</v>
      </c>
      <c r="L7" s="5" t="n">
        <f aca="false">'Ops Compute'!L3</f>
        <v>165791990</v>
      </c>
    </row>
    <row r="8" customFormat="false" ht="15" hidden="false" customHeight="false" outlineLevel="0" collapsed="false">
      <c r="A8" s="0" t="s">
        <v>334</v>
      </c>
      <c r="B8" s="0" t="s">
        <v>157</v>
      </c>
      <c r="C8" s="5" t="n">
        <f aca="false">'Ops Compute'!C4</f>
        <v>4710</v>
      </c>
      <c r="D8" s="5" t="n">
        <f aca="false">'Ops Compute'!D4</f>
        <v>9419</v>
      </c>
      <c r="E8" s="5" t="n">
        <f aca="false">'Ops Compute'!E4</f>
        <v>14129</v>
      </c>
      <c r="F8" s="5" t="n">
        <f aca="false">'Ops Compute'!F4</f>
        <v>18838</v>
      </c>
      <c r="G8" s="5" t="n">
        <f aca="false">'Ops Compute'!G4</f>
        <v>23548</v>
      </c>
      <c r="H8" s="5" t="n">
        <f aca="false">'Ops Compute'!H4</f>
        <v>28257</v>
      </c>
      <c r="I8" s="5" t="n">
        <f aca="false">'Ops Compute'!I4</f>
        <v>32967</v>
      </c>
      <c r="J8" s="5" t="n">
        <f aca="false">'Ops Compute'!J4</f>
        <v>37676</v>
      </c>
      <c r="K8" s="5" t="n">
        <f aca="false">'Ops Compute'!K4</f>
        <v>42386</v>
      </c>
      <c r="L8" s="5" t="n">
        <f aca="false">'Ops Compute'!L4</f>
        <v>47095</v>
      </c>
    </row>
    <row r="9" customFormat="false" ht="15" hidden="false" customHeight="false" outlineLevel="0" collapsed="false">
      <c r="A9" s="12" t="s">
        <v>335</v>
      </c>
    </row>
    <row r="10" customFormat="false" ht="15" hidden="false" customHeight="false" outlineLevel="0" collapsed="false">
      <c r="A10" s="0" t="s">
        <v>336</v>
      </c>
      <c r="B10" s="0" t="s">
        <v>157</v>
      </c>
      <c r="C10" s="5" t="n">
        <f aca="false">ROUND(C8*0.2,0)</f>
        <v>942</v>
      </c>
      <c r="D10" s="5" t="n">
        <f aca="false">ROUND(D8*0.2,0)</f>
        <v>1884</v>
      </c>
      <c r="E10" s="5" t="n">
        <f aca="false">ROUND(E8*0.2,0)</f>
        <v>2826</v>
      </c>
      <c r="F10" s="5" t="n">
        <f aca="false">ROUND(F8*0.2,0)</f>
        <v>3768</v>
      </c>
      <c r="G10" s="5" t="n">
        <f aca="false">ROUND(G8*0.2,0)</f>
        <v>4710</v>
      </c>
      <c r="H10" s="5" t="n">
        <f aca="false">ROUND(H8*0.2,0)</f>
        <v>5651</v>
      </c>
      <c r="I10" s="5" t="n">
        <f aca="false">ROUND(I8*0.2,0)</f>
        <v>6593</v>
      </c>
      <c r="J10" s="5" t="n">
        <f aca="false">ROUND(J8*0.2,0)</f>
        <v>7535</v>
      </c>
      <c r="K10" s="5" t="n">
        <f aca="false">ROUND(K8*0.2,0)</f>
        <v>8477</v>
      </c>
      <c r="L10" s="5" t="n">
        <f aca="false">ROUND(L8*0.2,0)</f>
        <v>9419</v>
      </c>
    </row>
    <row r="11" customFormat="false" ht="15" hidden="false" customHeight="false" outlineLevel="0" collapsed="false">
      <c r="A11" s="0" t="s">
        <v>337</v>
      </c>
      <c r="B11" s="0" t="s">
        <v>157</v>
      </c>
      <c r="C11" s="5" t="n">
        <f aca="false">ROUND(C8*0.4,0)</f>
        <v>1884</v>
      </c>
      <c r="D11" s="5" t="n">
        <f aca="false">ROUND(D8*0.4,0)</f>
        <v>3768</v>
      </c>
      <c r="E11" s="5" t="n">
        <f aca="false">ROUND(E8*0.4,0)</f>
        <v>5652</v>
      </c>
      <c r="F11" s="5" t="n">
        <f aca="false">ROUND(F8*0.4,0)</f>
        <v>7535</v>
      </c>
      <c r="G11" s="5" t="n">
        <f aca="false">ROUND(G8*0.4,0)</f>
        <v>9419</v>
      </c>
      <c r="H11" s="5" t="n">
        <f aca="false">ROUND(H8*0.4,0)</f>
        <v>11303</v>
      </c>
      <c r="I11" s="5" t="n">
        <f aca="false">ROUND(I8*0.4,0)</f>
        <v>13187</v>
      </c>
      <c r="J11" s="5" t="n">
        <f aca="false">ROUND(J8*0.4,0)</f>
        <v>15070</v>
      </c>
      <c r="K11" s="5" t="n">
        <f aca="false">ROUND(K8*0.4,0)</f>
        <v>16954</v>
      </c>
      <c r="L11" s="5" t="n">
        <f aca="false">ROUND(L8*0.4,0)</f>
        <v>18838</v>
      </c>
    </row>
    <row r="12" customFormat="false" ht="15" hidden="false" customHeight="false" outlineLevel="0" collapsed="false">
      <c r="A12" s="0" t="s">
        <v>338</v>
      </c>
      <c r="B12" s="0" t="s">
        <v>157</v>
      </c>
      <c r="C12" s="5" t="n">
        <f aca="false">ROUND(C8*0.4,0)</f>
        <v>1884</v>
      </c>
      <c r="D12" s="5" t="n">
        <f aca="false">ROUND(D8*0.4,0)</f>
        <v>3768</v>
      </c>
      <c r="E12" s="5" t="n">
        <f aca="false">ROUND(E8*0.4,0)</f>
        <v>5652</v>
      </c>
      <c r="F12" s="5" t="n">
        <f aca="false">ROUND(F8*0.4,0)</f>
        <v>7535</v>
      </c>
      <c r="G12" s="5" t="n">
        <f aca="false">ROUND(G8*0.4,0)</f>
        <v>9419</v>
      </c>
      <c r="H12" s="5" t="n">
        <f aca="false">ROUND(H8*0.4,0)</f>
        <v>11303</v>
      </c>
      <c r="I12" s="5" t="n">
        <f aca="false">ROUND(I8*0.4,0)</f>
        <v>13187</v>
      </c>
      <c r="J12" s="5" t="n">
        <f aca="false">ROUND(J8*0.4,0)</f>
        <v>15070</v>
      </c>
      <c r="K12" s="5" t="n">
        <f aca="false">ROUND(K8*0.4,0)</f>
        <v>16954</v>
      </c>
      <c r="L12" s="5" t="n">
        <f aca="false">ROUND(L8*0.4,0)</f>
        <v>18838</v>
      </c>
    </row>
    <row r="14" customFormat="false" ht="15" hidden="false" customHeight="false" outlineLevel="0" collapsed="false">
      <c r="A14" s="12" t="s">
        <v>339</v>
      </c>
    </row>
    <row r="15" customFormat="false" ht="15" hidden="false" customHeight="false" outlineLevel="0" collapsed="false">
      <c r="A15" s="0" t="s">
        <v>336</v>
      </c>
      <c r="B15" s="0" t="s">
        <v>333</v>
      </c>
      <c r="C15" s="5" t="n">
        <f aca="false">ROUND(C7*0.2,0)</f>
        <v>3315840</v>
      </c>
      <c r="D15" s="5" t="n">
        <f aca="false">ROUND(D7*0.2,0)</f>
        <v>6631680</v>
      </c>
      <c r="E15" s="5" t="n">
        <f aca="false">ROUND(E7*0.2,0)</f>
        <v>9947519</v>
      </c>
      <c r="F15" s="5" t="n">
        <f aca="false">ROUND(F7*0.2,0)</f>
        <v>13263359</v>
      </c>
      <c r="G15" s="5" t="n">
        <f aca="false">ROUND(G7*0.2,0)</f>
        <v>16579199</v>
      </c>
      <c r="H15" s="5" t="n">
        <f aca="false">ROUND(H7*0.2,0)</f>
        <v>19895039</v>
      </c>
      <c r="I15" s="5" t="n">
        <f aca="false">ROUND(I7*0.2,0)</f>
        <v>23210879</v>
      </c>
      <c r="J15" s="5" t="n">
        <f aca="false">ROUND(J7*0.2,0)</f>
        <v>26526718</v>
      </c>
      <c r="K15" s="5" t="n">
        <f aca="false">ROUND(K7*0.2,0)</f>
        <v>29842558</v>
      </c>
      <c r="L15" s="5" t="n">
        <f aca="false">ROUND(L7*0.2,0)</f>
        <v>33158398</v>
      </c>
    </row>
    <row r="16" customFormat="false" ht="15" hidden="false" customHeight="false" outlineLevel="0" collapsed="false">
      <c r="A16" s="0" t="s">
        <v>337</v>
      </c>
      <c r="B16" s="0" t="s">
        <v>333</v>
      </c>
      <c r="C16" s="5" t="n">
        <f aca="false">ROUND(C7*0.4,0)</f>
        <v>6631680</v>
      </c>
      <c r="D16" s="5" t="n">
        <f aca="false">ROUND(D7*0.4,0)</f>
        <v>13263359</v>
      </c>
      <c r="E16" s="5" t="n">
        <f aca="false">ROUND(E7*0.4,0)</f>
        <v>19895039</v>
      </c>
      <c r="F16" s="5" t="n">
        <f aca="false">ROUND(F7*0.4,0)</f>
        <v>26526718</v>
      </c>
      <c r="G16" s="5" t="n">
        <f aca="false">ROUND(G7*0.4,0)</f>
        <v>33158398</v>
      </c>
      <c r="H16" s="5" t="n">
        <f aca="false">ROUND(H7*0.4,0)</f>
        <v>39790078</v>
      </c>
      <c r="I16" s="5" t="n">
        <f aca="false">ROUND(I7*0.4,0)</f>
        <v>46421757</v>
      </c>
      <c r="J16" s="5" t="n">
        <f aca="false">ROUND(J7*0.4,0)</f>
        <v>53053437</v>
      </c>
      <c r="K16" s="5" t="n">
        <f aca="false">ROUND(K7*0.4,0)</f>
        <v>59685116</v>
      </c>
      <c r="L16" s="5" t="n">
        <f aca="false">ROUND(L7*0.4,0)</f>
        <v>66316796</v>
      </c>
    </row>
    <row r="17" customFormat="false" ht="15" hidden="false" customHeight="false" outlineLevel="0" collapsed="false">
      <c r="A17" s="0" t="s">
        <v>338</v>
      </c>
      <c r="B17" s="0" t="s">
        <v>333</v>
      </c>
      <c r="C17" s="5" t="n">
        <f aca="false">ROUND(C7*0.4,0)</f>
        <v>6631680</v>
      </c>
      <c r="D17" s="5" t="n">
        <f aca="false">ROUND(D7*0.4,0)</f>
        <v>13263359</v>
      </c>
      <c r="E17" s="5" t="n">
        <f aca="false">ROUND(E7*0.4,0)</f>
        <v>19895039</v>
      </c>
      <c r="F17" s="5" t="n">
        <f aca="false">ROUND(F7*0.4,0)</f>
        <v>26526718</v>
      </c>
      <c r="G17" s="5" t="n">
        <f aca="false">ROUND(G7*0.4,0)</f>
        <v>33158398</v>
      </c>
      <c r="H17" s="5" t="n">
        <f aca="false">ROUND(H7*0.4,0)</f>
        <v>39790078</v>
      </c>
      <c r="I17" s="5" t="n">
        <f aca="false">ROUND(I7*0.4,0)</f>
        <v>46421757</v>
      </c>
      <c r="J17" s="5" t="n">
        <f aca="false">ROUND(J7*0.4,0)</f>
        <v>53053437</v>
      </c>
      <c r="K17" s="5" t="n">
        <f aca="false">ROUND(K7*0.4,0)</f>
        <v>59685116</v>
      </c>
      <c r="L17" s="5" t="n">
        <f aca="false">ROUND(L7*0.4,0)</f>
        <v>66316796</v>
      </c>
    </row>
    <row r="19" customFormat="false" ht="15" hidden="false" customHeight="false" outlineLevel="0" collapsed="false">
      <c r="A19" s="3" t="s">
        <v>340</v>
      </c>
    </row>
    <row r="20" customFormat="false" ht="15" hidden="false" customHeight="false" outlineLevel="0" collapsed="false">
      <c r="A20" s="0" t="s">
        <v>341</v>
      </c>
      <c r="B20" s="0" t="s">
        <v>157</v>
      </c>
      <c r="C20" s="5" t="n">
        <f aca="false">C11</f>
        <v>1884</v>
      </c>
      <c r="D20" s="5" t="n">
        <f aca="false">D11</f>
        <v>3768</v>
      </c>
      <c r="E20" s="5" t="n">
        <f aca="false">E11</f>
        <v>5652</v>
      </c>
      <c r="F20" s="5" t="n">
        <f aca="false">F11</f>
        <v>7535</v>
      </c>
      <c r="G20" s="5" t="n">
        <f aca="false">G11</f>
        <v>9419</v>
      </c>
      <c r="H20" s="5" t="n">
        <f aca="false">H11</f>
        <v>11303</v>
      </c>
      <c r="I20" s="5" t="n">
        <f aca="false">I11</f>
        <v>13187</v>
      </c>
      <c r="J20" s="5" t="n">
        <f aca="false">J11</f>
        <v>15070</v>
      </c>
      <c r="K20" s="5" t="n">
        <f aca="false">K11</f>
        <v>16954</v>
      </c>
      <c r="L20" s="5" t="n">
        <f aca="false">L11</f>
        <v>18838</v>
      </c>
    </row>
    <row r="21" customFormat="false" ht="15" hidden="false" customHeight="false" outlineLevel="0" collapsed="false">
      <c r="A21" s="0" t="s">
        <v>342</v>
      </c>
      <c r="B21" s="0" t="s">
        <v>176</v>
      </c>
      <c r="C21" s="5" t="n">
        <f aca="false">CEILING(C20/120,1)</f>
        <v>16</v>
      </c>
      <c r="D21" s="5" t="n">
        <f aca="false">CEILING(D20/120,1)</f>
        <v>32</v>
      </c>
      <c r="E21" s="5" t="n">
        <f aca="false">CEILING(E20/120,1)</f>
        <v>48</v>
      </c>
      <c r="F21" s="5" t="n">
        <f aca="false">CEILING(F20/120,1)</f>
        <v>63</v>
      </c>
      <c r="G21" s="5" t="n">
        <f aca="false">CEILING(G20/120,1)</f>
        <v>79</v>
      </c>
      <c r="H21" s="5" t="n">
        <f aca="false">CEILING(H20/120,1)</f>
        <v>95</v>
      </c>
      <c r="I21" s="5" t="n">
        <f aca="false">CEILING(I20/120,1)</f>
        <v>110</v>
      </c>
      <c r="J21" s="5" t="n">
        <f aca="false">CEILING(J20/120,1)</f>
        <v>126</v>
      </c>
      <c r="K21" s="5" t="n">
        <f aca="false">CEILING(K20/120,1)</f>
        <v>142</v>
      </c>
      <c r="L21" s="5" t="n">
        <f aca="false">CEILING(L20/120,1)</f>
        <v>157</v>
      </c>
    </row>
    <row r="22" customFormat="false" ht="15" hidden="false" customHeight="false" outlineLevel="0" collapsed="false">
      <c r="A22" s="0" t="s">
        <v>343</v>
      </c>
      <c r="B22" s="0" t="s">
        <v>97</v>
      </c>
      <c r="C22" s="6" t="n">
        <f aca="false">ROUND(('Ops Storage'!C38+'Ops Storage'!C39+'Ops Storage'!C41)*0.4,0)</f>
        <v>2681</v>
      </c>
      <c r="D22" s="6" t="n">
        <f aca="false">ROUND(('Ops Storage'!D38+'Ops Storage'!D39+'Ops Storage'!D41)*0.4,0)</f>
        <v>2681</v>
      </c>
      <c r="E22" s="6" t="n">
        <f aca="false">ROUND(('Ops Storage'!E38+'Ops Storage'!E39+'Ops Storage'!E41)*0.4,0)</f>
        <v>2681</v>
      </c>
      <c r="F22" s="6" t="n">
        <f aca="false">ROUND(('Ops Storage'!F38+'Ops Storage'!F39+'Ops Storage'!F41)*0.4,0)</f>
        <v>2681</v>
      </c>
      <c r="G22" s="6" t="n">
        <f aca="false">ROUND(('Ops Storage'!G38+'Ops Storage'!G39+'Ops Storage'!G41)*0.4,0)</f>
        <v>2681</v>
      </c>
      <c r="H22" s="6" t="n">
        <f aca="false">ROUND(('Ops Storage'!H38+'Ops Storage'!H39+'Ops Storage'!H41)*0.4,0)</f>
        <v>2681</v>
      </c>
      <c r="I22" s="6" t="n">
        <f aca="false">ROUND(('Ops Storage'!I38+'Ops Storage'!I39+'Ops Storage'!I41)*0.4,0)</f>
        <v>2681</v>
      </c>
      <c r="J22" s="6" t="n">
        <f aca="false">ROUND(('Ops Storage'!J38+'Ops Storage'!J39+'Ops Storage'!J41)*0.4,0)</f>
        <v>2681</v>
      </c>
      <c r="K22" s="6" t="n">
        <f aca="false">ROUND(('Ops Storage'!K38+'Ops Storage'!K39+'Ops Storage'!K41)*0.4,0)</f>
        <v>2681</v>
      </c>
      <c r="L22" s="6" t="n">
        <f aca="false">ROUND(('Ops Storage'!L38+'Ops Storage'!L39+'Ops Storage'!L41)*0.4,0)</f>
        <v>2681</v>
      </c>
    </row>
    <row r="24" customFormat="false" ht="15" hidden="false" customHeight="false" outlineLevel="0" collapsed="false">
      <c r="A24" s="3" t="s">
        <v>344</v>
      </c>
    </row>
    <row r="25" customFormat="false" ht="15" hidden="false" customHeight="false" outlineLevel="0" collapsed="false">
      <c r="A25" s="0" t="s">
        <v>341</v>
      </c>
      <c r="B25" s="0" t="s">
        <v>157</v>
      </c>
      <c r="C25" s="5" t="n">
        <f aca="false">C12</f>
        <v>1884</v>
      </c>
      <c r="D25" s="5" t="n">
        <f aca="false">D12</f>
        <v>3768</v>
      </c>
      <c r="E25" s="5" t="n">
        <f aca="false">E12</f>
        <v>5652</v>
      </c>
      <c r="F25" s="5" t="n">
        <f aca="false">F12</f>
        <v>7535</v>
      </c>
      <c r="G25" s="5" t="n">
        <f aca="false">G12</f>
        <v>9419</v>
      </c>
      <c r="H25" s="5" t="n">
        <f aca="false">H12</f>
        <v>11303</v>
      </c>
      <c r="I25" s="5" t="n">
        <f aca="false">I12</f>
        <v>13187</v>
      </c>
      <c r="J25" s="5" t="n">
        <f aca="false">J12</f>
        <v>15070</v>
      </c>
      <c r="K25" s="5" t="n">
        <f aca="false">K12</f>
        <v>16954</v>
      </c>
      <c r="L25" s="5" t="n">
        <f aca="false">L12</f>
        <v>18838</v>
      </c>
    </row>
    <row r="26" customFormat="false" ht="15" hidden="false" customHeight="false" outlineLevel="0" collapsed="false">
      <c r="A26" s="0" t="s">
        <v>342</v>
      </c>
      <c r="B26" s="0" t="s">
        <v>176</v>
      </c>
      <c r="C26" s="5" t="n">
        <f aca="false">CEILING(C25/120,1)</f>
        <v>16</v>
      </c>
      <c r="D26" s="5" t="n">
        <f aca="false">CEILING(D25/120,1)</f>
        <v>32</v>
      </c>
      <c r="E26" s="5" t="n">
        <f aca="false">CEILING(E25/120,1)</f>
        <v>48</v>
      </c>
      <c r="F26" s="5" t="n">
        <f aca="false">CEILING(F25/120,1)</f>
        <v>63</v>
      </c>
      <c r="G26" s="5" t="n">
        <f aca="false">CEILING(G25/120,1)</f>
        <v>79</v>
      </c>
      <c r="H26" s="5" t="n">
        <f aca="false">CEILING(H25/120,1)</f>
        <v>95</v>
      </c>
      <c r="I26" s="5" t="n">
        <f aca="false">CEILING(I25/120,1)</f>
        <v>110</v>
      </c>
      <c r="J26" s="5" t="n">
        <f aca="false">CEILING(J25/120,1)</f>
        <v>126</v>
      </c>
      <c r="K26" s="5" t="n">
        <f aca="false">CEILING(K25/120,1)</f>
        <v>142</v>
      </c>
      <c r="L26" s="5" t="n">
        <f aca="false">CEILING(L25/120,1)</f>
        <v>157</v>
      </c>
    </row>
    <row r="27" customFormat="false" ht="15" hidden="false" customHeight="false" outlineLevel="0" collapsed="false">
      <c r="A27" s="0" t="s">
        <v>343</v>
      </c>
      <c r="B27" s="0" t="s">
        <v>97</v>
      </c>
      <c r="C27" s="6" t="n">
        <f aca="false">ROUND(('Ops Storage'!C38+'Ops Storage'!C39+'Ops Storage'!C41)*0.4,0)</f>
        <v>2681</v>
      </c>
      <c r="D27" s="6" t="n">
        <f aca="false">ROUND(('Ops Storage'!D38+'Ops Storage'!D39+'Ops Storage'!D41)*0.4,0)</f>
        <v>2681</v>
      </c>
      <c r="E27" s="6" t="n">
        <f aca="false">ROUND(('Ops Storage'!E38+'Ops Storage'!E39+'Ops Storage'!E41)*0.4,0)</f>
        <v>2681</v>
      </c>
      <c r="F27" s="6" t="n">
        <f aca="false">ROUND(('Ops Storage'!F38+'Ops Storage'!F39+'Ops Storage'!F41)*0.4,0)</f>
        <v>2681</v>
      </c>
      <c r="G27" s="6" t="n">
        <f aca="false">ROUND(('Ops Storage'!G38+'Ops Storage'!G39+'Ops Storage'!G41)*0.4,0)</f>
        <v>2681</v>
      </c>
      <c r="H27" s="6" t="n">
        <f aca="false">ROUND(('Ops Storage'!H38+'Ops Storage'!H39+'Ops Storage'!H41)*0.4,0)</f>
        <v>2681</v>
      </c>
      <c r="I27" s="6" t="n">
        <f aca="false">ROUND(('Ops Storage'!I38+'Ops Storage'!I39+'Ops Storage'!I41)*0.4,0)</f>
        <v>2681</v>
      </c>
      <c r="J27" s="6" t="n">
        <f aca="false">ROUND(('Ops Storage'!J38+'Ops Storage'!J39+'Ops Storage'!J41)*0.4,0)</f>
        <v>2681</v>
      </c>
      <c r="K27" s="6" t="n">
        <f aca="false">ROUND(('Ops Storage'!K38+'Ops Storage'!K39+'Ops Storage'!K41)*0.4,0)</f>
        <v>2681</v>
      </c>
      <c r="L27" s="6" t="n">
        <f aca="false">ROUND(('Ops Storage'!L38+'Ops Storage'!L39+'Ops Storage'!L41)*0.4,0)</f>
        <v>2681</v>
      </c>
    </row>
    <row r="29" customFormat="false" ht="15" hidden="false" customHeight="false" outlineLevel="0" collapsed="false">
      <c r="A29" s="16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" min="4" style="0" width="20"/>
    <col collapsed="false" customWidth="true" hidden="false" outlineLevel="0" max="9" min="7" style="0" width="18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346</v>
      </c>
    </row>
    <row r="3" customFormat="false" ht="39.55" hidden="false" customHeight="false" outlineLevel="0" collapsed="false">
      <c r="A3" s="2" t="s">
        <v>347</v>
      </c>
      <c r="B3" s="2" t="s">
        <v>348</v>
      </c>
      <c r="C3" s="2" t="s">
        <v>267</v>
      </c>
      <c r="D3" s="2" t="s">
        <v>349</v>
      </c>
      <c r="E3" s="2" t="s">
        <v>350</v>
      </c>
      <c r="F3" s="2" t="s">
        <v>351</v>
      </c>
      <c r="G3" s="2" t="s">
        <v>352</v>
      </c>
      <c r="H3" s="2" t="s">
        <v>353</v>
      </c>
      <c r="I3" s="2" t="s">
        <v>354</v>
      </c>
      <c r="J3" s="2" t="s">
        <v>355</v>
      </c>
    </row>
    <row r="4" customFormat="false" ht="15" hidden="false" customHeight="false" outlineLevel="0" collapsed="false">
      <c r="A4" s="0" t="s">
        <v>80</v>
      </c>
      <c r="B4" s="0" t="n">
        <v>2026</v>
      </c>
      <c r="C4" s="11" t="s">
        <v>268</v>
      </c>
      <c r="D4" s="5" t="n">
        <f aca="false">'Purchase Plan'!C11</f>
        <v>5228.1</v>
      </c>
      <c r="E4" s="5" t="n">
        <v>17400</v>
      </c>
      <c r="F4" s="5" t="n">
        <f aca="false">MAX(0,D4-E4)</f>
        <v>0</v>
      </c>
      <c r="G4" s="6" t="n">
        <f aca="false">'Purchase Plan'!C30/1000</f>
        <v>27.7235375748437</v>
      </c>
      <c r="H4" s="6" t="n">
        <v>30</v>
      </c>
      <c r="I4" s="6" t="n">
        <f aca="false">MAX(0,G4-H4)</f>
        <v>0</v>
      </c>
      <c r="J4" s="0" t="str">
        <f aca="false">IF(AND(F4&lt;=0,I4&lt;=0),"On Track","Need: "&amp;IF(F4&gt;0,TEXT(F4,"#,##0")&amp;" cores","")&amp;IF(AND(F4&gt;0,I4&gt;0)," + ","")&amp;IF(I4&gt;0,TEXT(I4,"#,##0.0")&amp;" PB",""))</f>
        <v>On Track</v>
      </c>
    </row>
    <row r="5" customFormat="false" ht="15" hidden="false" customHeight="false" outlineLevel="0" collapsed="false">
      <c r="A5" s="0" t="s">
        <v>81</v>
      </c>
      <c r="B5" s="0" t="n">
        <v>2027</v>
      </c>
      <c r="C5" s="11" t="s">
        <v>269</v>
      </c>
      <c r="D5" s="5" t="n">
        <f aca="false">'Purchase Plan'!D11</f>
        <v>10455.09</v>
      </c>
      <c r="E5" s="5" t="n">
        <f aca="false">'Purchase Plan'!C12</f>
        <v>22628.1</v>
      </c>
      <c r="F5" s="5" t="n">
        <f aca="false">MAX(0,D5-E5)</f>
        <v>0</v>
      </c>
      <c r="G5" s="6" t="n">
        <f aca="false">'Purchase Plan'!D30/1000</f>
        <v>45.7998046565117</v>
      </c>
      <c r="H5" s="6" t="n">
        <f aca="false">'Purchase Plan'!C31/1000</f>
        <v>30</v>
      </c>
      <c r="I5" s="6" t="n">
        <f aca="false">MAX(0,G5-H5)</f>
        <v>15.7998046565117</v>
      </c>
      <c r="J5" s="0" t="str">
        <f aca="false">IF(AND(F5&lt;=0,I5&lt;=0),"On Track","Need: "&amp;IF(F5&gt;0,TEXT(F5,"#,##0")&amp;" cores","")&amp;IF(AND(F5&gt;0,I5&gt;0)," + ","")&amp;IF(I5&gt;0,TEXT(I5,"#,##0.0")&amp;" PB",""))</f>
        <v>Need: 15.8 PB</v>
      </c>
    </row>
    <row r="6" customFormat="false" ht="15" hidden="false" customHeight="false" outlineLevel="0" collapsed="false">
      <c r="A6" s="0" t="s">
        <v>82</v>
      </c>
      <c r="B6" s="0" t="n">
        <v>2028</v>
      </c>
      <c r="C6" s="11" t="s">
        <v>270</v>
      </c>
      <c r="D6" s="5" t="n">
        <f aca="false">'Purchase Plan'!E11</f>
        <v>15683.19</v>
      </c>
      <c r="E6" s="5" t="n">
        <f aca="false">'Purchase Plan'!D12</f>
        <v>27855.09</v>
      </c>
      <c r="F6" s="5" t="n">
        <f aca="false">MAX(0,D6-E6)</f>
        <v>0</v>
      </c>
      <c r="G6" s="6" t="n">
        <f aca="false">'Purchase Plan'!E30/1000</f>
        <v>63.3423051381797</v>
      </c>
      <c r="H6" s="6" t="n">
        <f aca="false">'Purchase Plan'!D31/1000</f>
        <v>45.7998046565117</v>
      </c>
      <c r="I6" s="6" t="n">
        <f aca="false">MAX(0,G6-H6)</f>
        <v>17.542500481668</v>
      </c>
      <c r="J6" s="0" t="str">
        <f aca="false">IF(AND(F6&lt;=0,I6&lt;=0),"On Track","Need: "&amp;IF(F6&gt;0,TEXT(F6,"#,##0")&amp;" cores","")&amp;IF(AND(F6&gt;0,I6&gt;0)," + ","")&amp;IF(I6&gt;0,TEXT(I6,"#,##0.0")&amp;" PB",""))</f>
        <v>Need: 17.5 PB</v>
      </c>
    </row>
    <row r="7" customFormat="false" ht="15" hidden="false" customHeight="false" outlineLevel="0" collapsed="false">
      <c r="A7" s="0" t="s">
        <v>83</v>
      </c>
      <c r="B7" s="0" t="n">
        <v>2029</v>
      </c>
      <c r="C7" s="11" t="s">
        <v>271</v>
      </c>
      <c r="D7" s="5" t="n">
        <f aca="false">'Purchase Plan'!F11</f>
        <v>20910.18</v>
      </c>
      <c r="E7" s="5" t="n">
        <f aca="false">'Purchase Plan'!E12</f>
        <v>33083.19</v>
      </c>
      <c r="F7" s="5" t="n">
        <f aca="false">MAX(0,D7-E7)</f>
        <v>0</v>
      </c>
      <c r="G7" s="6" t="n">
        <f aca="false">'Purchase Plan'!F30/1000</f>
        <v>75.5277288398477</v>
      </c>
      <c r="H7" s="6" t="n">
        <f aca="false">'Purchase Plan'!E31/1000</f>
        <v>63.3423051381797</v>
      </c>
      <c r="I7" s="6" t="n">
        <f aca="false">MAX(0,G7-H7)</f>
        <v>12.185423701668</v>
      </c>
      <c r="J7" s="0" t="str">
        <f aca="false">IF(AND(F7&lt;=0,I7&lt;=0),"On Track","Need: "&amp;IF(F7&gt;0,TEXT(F7,"#,##0")&amp;" cores","")&amp;IF(AND(F7&gt;0,I7&gt;0)," + ","")&amp;IF(I7&gt;0,TEXT(I7,"#,##0.0")&amp;" PB",""))</f>
        <v>Need: 12.2 PB</v>
      </c>
    </row>
    <row r="8" customFormat="false" ht="15" hidden="false" customHeight="false" outlineLevel="0" collapsed="false">
      <c r="A8" s="0" t="s">
        <v>84</v>
      </c>
      <c r="B8" s="0" t="n">
        <v>2030</v>
      </c>
      <c r="C8" s="11" t="s">
        <v>272</v>
      </c>
      <c r="D8" s="5" t="n">
        <f aca="false">'Purchase Plan'!G11</f>
        <v>26138.28</v>
      </c>
      <c r="E8" s="5" t="n">
        <f aca="false">'Purchase Plan'!F12</f>
        <v>43538.28</v>
      </c>
      <c r="F8" s="5" t="n">
        <f aca="false">MAX(0,D8-E8)</f>
        <v>0</v>
      </c>
      <c r="G8" s="6" t="n">
        <f aca="false">'Purchase Plan'!G30/1000</f>
        <v>87.7730942815157</v>
      </c>
      <c r="H8" s="6" t="n">
        <f aca="false">'Purchase Plan'!F31/1000</f>
        <v>75.5277288398477</v>
      </c>
      <c r="I8" s="6" t="n">
        <f aca="false">MAX(0,G8-H8)</f>
        <v>12.245365441668</v>
      </c>
      <c r="J8" s="0" t="str">
        <f aca="false">IF(AND(F8&lt;=0,I8&lt;=0),"On Track","Need: "&amp;IF(F8&gt;0,TEXT(F8,"#,##0")&amp;" cores","")&amp;IF(AND(F8&gt;0,I8&gt;0)," + ","")&amp;IF(I8&gt;0,TEXT(I8,"#,##0.0")&amp;" PB",""))</f>
        <v>Need: 12.2 PB</v>
      </c>
    </row>
    <row r="9" customFormat="false" ht="15" hidden="false" customHeight="false" outlineLevel="0" collapsed="false">
      <c r="A9" s="0" t="s">
        <v>85</v>
      </c>
      <c r="B9" s="0" t="n">
        <v>2031</v>
      </c>
      <c r="C9" s="11" t="s">
        <v>273</v>
      </c>
      <c r="D9" s="5" t="n">
        <f aca="false">'Purchase Plan'!H11</f>
        <v>31365.27</v>
      </c>
      <c r="E9" s="5" t="n">
        <f aca="false">'Purchase Plan'!G12</f>
        <v>53993.37</v>
      </c>
      <c r="F9" s="5" t="n">
        <f aca="false">MAX(0,D9-E9)</f>
        <v>0</v>
      </c>
      <c r="G9" s="6" t="n">
        <f aca="false">'Purchase Plan'!H30/1000</f>
        <v>100.448361403184</v>
      </c>
      <c r="H9" s="6" t="n">
        <f aca="false">'Purchase Plan'!G31/1000</f>
        <v>87.7730942815157</v>
      </c>
      <c r="I9" s="6" t="n">
        <f aca="false">MAX(0,G9-H9)</f>
        <v>12.675267121668</v>
      </c>
      <c r="J9" s="0" t="str">
        <f aca="false">IF(AND(F9&lt;=0,I9&lt;=0),"On Track","Need: "&amp;IF(F9&gt;0,TEXT(F9,"#,##0")&amp;" cores","")&amp;IF(AND(F9&gt;0,I9&gt;0)," + ","")&amp;IF(I9&gt;0,TEXT(I9,"#,##0.0")&amp;" PB",""))</f>
        <v>Need: 12.7 PB</v>
      </c>
    </row>
    <row r="10" customFormat="false" ht="15" hidden="false" customHeight="false" outlineLevel="0" collapsed="false">
      <c r="A10" s="0" t="s">
        <v>86</v>
      </c>
      <c r="B10" s="0" t="n">
        <v>2032</v>
      </c>
      <c r="C10" s="11" t="s">
        <v>274</v>
      </c>
      <c r="D10" s="5" t="n">
        <f aca="false">'Purchase Plan'!I11</f>
        <v>36593.37</v>
      </c>
      <c r="E10" s="5" t="n">
        <f aca="false">'Purchase Plan'!H12</f>
        <v>64448.46</v>
      </c>
      <c r="F10" s="5" t="n">
        <f aca="false">MAX(0,D10-E10)</f>
        <v>0</v>
      </c>
      <c r="G10" s="6" t="n">
        <f aca="false">'Purchase Plan'!I30/1000</f>
        <v>113.638900244852</v>
      </c>
      <c r="H10" s="6" t="n">
        <f aca="false">'Purchase Plan'!H31/1000</f>
        <v>100.448361403184</v>
      </c>
      <c r="I10" s="6" t="n">
        <f aca="false">MAX(0,G10-H10)</f>
        <v>13.190538841668</v>
      </c>
      <c r="J10" s="0" t="str">
        <f aca="false">IF(AND(F10&lt;=0,I10&lt;=0),"On Track","Need: "&amp;IF(F10&gt;0,TEXT(F10,"#,##0")&amp;" cores","")&amp;IF(AND(F10&gt;0,I10&gt;0)," + ","")&amp;IF(I10&gt;0,TEXT(I10,"#,##0.0")&amp;" PB",""))</f>
        <v>Need: 13.2 PB</v>
      </c>
    </row>
    <row r="11" customFormat="false" ht="15" hidden="false" customHeight="false" outlineLevel="0" collapsed="false">
      <c r="A11" s="0" t="s">
        <v>87</v>
      </c>
      <c r="B11" s="0" t="n">
        <v>2033</v>
      </c>
      <c r="C11" s="11" t="s">
        <v>275</v>
      </c>
      <c r="D11" s="5" t="n">
        <f aca="false">'Purchase Plan'!J11</f>
        <v>41820.36</v>
      </c>
      <c r="E11" s="5" t="n">
        <f aca="false">'Purchase Plan'!I12</f>
        <v>74903.55</v>
      </c>
      <c r="F11" s="5" t="n">
        <f aca="false">MAX(0,D11-E11)</f>
        <v>0</v>
      </c>
      <c r="G11" s="6" t="n">
        <f aca="false">'Purchase Plan'!J30/1000</f>
        <v>127.31173060652</v>
      </c>
      <c r="H11" s="6" t="n">
        <f aca="false">'Purchase Plan'!I31/1000</f>
        <v>113.638900244852</v>
      </c>
      <c r="I11" s="6" t="n">
        <f aca="false">MAX(0,G11-H11)</f>
        <v>13.672830361668</v>
      </c>
      <c r="J11" s="0" t="str">
        <f aca="false">IF(AND(F11&lt;=0,I11&lt;=0),"On Track","Need: "&amp;IF(F11&gt;0,TEXT(F11,"#,##0")&amp;" cores","")&amp;IF(AND(F11&gt;0,I11&gt;0)," + ","")&amp;IF(I11&gt;0,TEXT(I11,"#,##0.0")&amp;" PB",""))</f>
        <v>Need: 13.7 PB</v>
      </c>
    </row>
    <row r="12" customFormat="false" ht="15" hidden="false" customHeight="false" outlineLevel="0" collapsed="false">
      <c r="A12" s="0" t="s">
        <v>88</v>
      </c>
      <c r="B12" s="0" t="n">
        <v>2034</v>
      </c>
      <c r="C12" s="11" t="s">
        <v>276</v>
      </c>
      <c r="D12" s="5" t="n">
        <f aca="false">'Purchase Plan'!K11</f>
        <v>47048.46</v>
      </c>
      <c r="E12" s="5" t="n">
        <f aca="false">'Purchase Plan'!J12</f>
        <v>85358.64</v>
      </c>
      <c r="F12" s="5" t="n">
        <f aca="false">MAX(0,D12-E12)</f>
        <v>0</v>
      </c>
      <c r="G12" s="6" t="n">
        <f aca="false">'Purchase Plan'!K30/1000</f>
        <v>141.403539528188</v>
      </c>
      <c r="H12" s="6" t="n">
        <f aca="false">'Purchase Plan'!J31/1000</f>
        <v>127.31173060652</v>
      </c>
      <c r="I12" s="6" t="n">
        <f aca="false">MAX(0,G12-H12)</f>
        <v>14.091808921668</v>
      </c>
      <c r="J12" s="0" t="str">
        <f aca="false">IF(AND(F12&lt;=0,I12&lt;=0),"On Track","Need: "&amp;IF(F12&gt;0,TEXT(F12,"#,##0")&amp;" cores","")&amp;IF(AND(F12&gt;0,I12&gt;0)," + ","")&amp;IF(I12&gt;0,TEXT(I12,"#,##0.0")&amp;" PB",""))</f>
        <v>Need: 14.1 PB</v>
      </c>
    </row>
    <row r="13" customFormat="false" ht="15" hidden="false" customHeight="false" outlineLevel="0" collapsed="false">
      <c r="A13" s="0" t="s">
        <v>89</v>
      </c>
      <c r="B13" s="0" t="n">
        <v>2035</v>
      </c>
      <c r="C13" s="11" t="s">
        <v>277</v>
      </c>
      <c r="D13" s="5" t="n">
        <f aca="false">'Purchase Plan'!L11</f>
        <v>52275.45</v>
      </c>
      <c r="E13" s="5" t="n">
        <f aca="false">'Purchase Plan'!K12</f>
        <v>95813.73</v>
      </c>
      <c r="F13" s="5" t="n">
        <f aca="false">MAX(0,D13-E13)</f>
        <v>0</v>
      </c>
      <c r="G13" s="6" t="n">
        <f aca="false">'Purchase Plan'!L30/1000</f>
        <v>155.960750209856</v>
      </c>
      <c r="H13" s="6" t="n">
        <f aca="false">'Purchase Plan'!K31/1000</f>
        <v>141.403539528188</v>
      </c>
      <c r="I13" s="6" t="n">
        <f aca="false">MAX(0,G13-H13)</f>
        <v>14.557210681668</v>
      </c>
      <c r="J13" s="0" t="str">
        <f aca="false">IF(AND(F13&lt;=0,I13&lt;=0),"On Track","Need: "&amp;IF(F13&gt;0,TEXT(F13,"#,##0")&amp;" cores","")&amp;IF(AND(F13&gt;0,I13&gt;0)," + ","")&amp;IF(I13&gt;0,TEXT(I13,"#,##0.0")&amp;" PB",""))</f>
        <v>Need: 14.6 PB</v>
      </c>
    </row>
    <row r="15" customFormat="false" ht="15" hidden="false" customHeight="false" outlineLevel="0" collapsed="false">
      <c r="A15" s="15" t="s">
        <v>356</v>
      </c>
    </row>
    <row r="16" customFormat="false" ht="15" hidden="false" customHeight="false" outlineLevel="0" collapsed="false">
      <c r="A16" s="16" t="s">
        <v>357</v>
      </c>
    </row>
    <row r="17" customFormat="false" ht="15" hidden="false" customHeight="false" outlineLevel="0" collapsed="false">
      <c r="A17" s="16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16" min="7" style="0" width="11"/>
  </cols>
  <sheetData>
    <row r="1" customFormat="false" ht="17.35" hidden="false" customHeight="false" outlineLevel="0" collapsed="false">
      <c r="A1" s="1" t="s">
        <v>359</v>
      </c>
    </row>
    <row r="2" customFormat="false" ht="15" hidden="false" customHeight="false" outlineLevel="0" collapsed="false">
      <c r="A2" s="17" t="s">
        <v>360</v>
      </c>
    </row>
    <row r="5" customFormat="false" ht="15" hidden="false" customHeight="false" outlineLevel="0" collapsed="false">
      <c r="A5" s="12" t="s">
        <v>361</v>
      </c>
      <c r="G5" s="5" t="n">
        <v>2026</v>
      </c>
      <c r="H5" s="5" t="n">
        <v>2027</v>
      </c>
      <c r="I5" s="5" t="n">
        <v>2028</v>
      </c>
      <c r="J5" s="5" t="n">
        <v>2029</v>
      </c>
      <c r="K5" s="5" t="n">
        <v>2030</v>
      </c>
      <c r="L5" s="5" t="n">
        <v>2031</v>
      </c>
      <c r="M5" s="5" t="n">
        <v>2032</v>
      </c>
      <c r="N5" s="5" t="n">
        <v>2033</v>
      </c>
      <c r="O5" s="5" t="n">
        <v>2034</v>
      </c>
      <c r="P5" s="5" t="n">
        <v>2035</v>
      </c>
    </row>
    <row r="6" customFormat="false" ht="26.85" hidden="false" customHeight="false" outlineLevel="0" collapsed="false">
      <c r="A6" s="2" t="s">
        <v>362</v>
      </c>
      <c r="B6" s="2" t="s">
        <v>153</v>
      </c>
      <c r="C6" s="2" t="s">
        <v>363</v>
      </c>
      <c r="D6" s="2" t="s">
        <v>364</v>
      </c>
      <c r="E6" s="2" t="s">
        <v>365</v>
      </c>
      <c r="F6" s="2" t="s">
        <v>366</v>
      </c>
      <c r="G6" s="2" t="s">
        <v>80</v>
      </c>
      <c r="H6" s="2" t="s">
        <v>81</v>
      </c>
      <c r="I6" s="2" t="s">
        <v>82</v>
      </c>
      <c r="J6" s="2" t="s">
        <v>83</v>
      </c>
      <c r="K6" s="2" t="s">
        <v>84</v>
      </c>
      <c r="L6" s="2" t="s">
        <v>85</v>
      </c>
      <c r="M6" s="2" t="s">
        <v>86</v>
      </c>
      <c r="N6" s="2" t="s">
        <v>87</v>
      </c>
      <c r="O6" s="2" t="s">
        <v>88</v>
      </c>
      <c r="P6" s="2" t="s">
        <v>89</v>
      </c>
    </row>
    <row r="7" customFormat="false" ht="15" hidden="false" customHeight="false" outlineLevel="0" collapsed="false">
      <c r="A7" s="0" t="s">
        <v>367</v>
      </c>
      <c r="B7" s="0" t="s">
        <v>368</v>
      </c>
      <c r="C7" s="5" t="n">
        <v>16</v>
      </c>
      <c r="D7" s="5" t="n">
        <v>2022</v>
      </c>
      <c r="E7" s="5" t="n">
        <v>3</v>
      </c>
      <c r="F7" s="5" t="n">
        <v>2025</v>
      </c>
      <c r="G7" s="5" t="n">
        <f aca="false">IF(AND(G$5&gt;$D7,MOD(G$5-$D7,$E7)=0),$C7,0)</f>
        <v>0</v>
      </c>
      <c r="H7" s="5" t="n">
        <f aca="false">IF(AND(H$5&gt;$D7,MOD(H$5-$D7,$E7)=0),$C7,0)</f>
        <v>0</v>
      </c>
      <c r="I7" s="5" t="n">
        <f aca="false">IF(AND(I$5&gt;$D7,MOD(I$5-$D7,$E7)=0),$C7,0)</f>
        <v>16</v>
      </c>
      <c r="J7" s="5" t="n">
        <f aca="false">IF(AND(J$5&gt;$D7,MOD(J$5-$D7,$E7)=0),$C7,0)</f>
        <v>0</v>
      </c>
      <c r="K7" s="5" t="n">
        <f aca="false">IF(AND(K$5&gt;$D7,MOD(K$5-$D7,$E7)=0),$C7,0)</f>
        <v>0</v>
      </c>
      <c r="L7" s="5" t="n">
        <f aca="false">IF(AND(L$5&gt;$D7,MOD(L$5-$D7,$E7)=0),$C7,0)</f>
        <v>16</v>
      </c>
      <c r="M7" s="5" t="n">
        <f aca="false">IF(AND(M$5&gt;$D7,MOD(M$5-$D7,$E7)=0),$C7,0)</f>
        <v>0</v>
      </c>
      <c r="N7" s="5" t="n">
        <f aca="false">IF(AND(N$5&gt;$D7,MOD(N$5-$D7,$E7)=0),$C7,0)</f>
        <v>0</v>
      </c>
      <c r="O7" s="5" t="n">
        <f aca="false">IF(AND(O$5&gt;$D7,MOD(O$5-$D7,$E7)=0),$C7,0)</f>
        <v>16</v>
      </c>
      <c r="P7" s="5" t="n">
        <f aca="false">IF(AND(P$5&gt;$D7,MOD(P$5-$D7,$E7)=0),$C7,0)</f>
        <v>0</v>
      </c>
    </row>
    <row r="8" customFormat="false" ht="15" hidden="false" customHeight="false" outlineLevel="0" collapsed="false">
      <c r="A8" s="0" t="s">
        <v>369</v>
      </c>
      <c r="B8" s="0" t="s">
        <v>370</v>
      </c>
      <c r="C8" s="5" t="n">
        <v>4</v>
      </c>
      <c r="D8" s="5" t="n">
        <v>2022</v>
      </c>
      <c r="E8" s="5" t="n">
        <v>5</v>
      </c>
      <c r="F8" s="5" t="n">
        <v>2027</v>
      </c>
      <c r="G8" s="5" t="n">
        <f aca="false">IF(AND(G$5&gt;$D8,MOD(G$5-$D8,$E8)=0),$C8,0)</f>
        <v>0</v>
      </c>
      <c r="H8" s="5" t="n">
        <f aca="false">IF(AND(H$5&gt;$D8,MOD(H$5-$D8,$E8)=0),$C8,0)</f>
        <v>4</v>
      </c>
      <c r="I8" s="5" t="n">
        <f aca="false">IF(AND(I$5&gt;$D8,MOD(I$5-$D8,$E8)=0),$C8,0)</f>
        <v>0</v>
      </c>
      <c r="J8" s="5" t="n">
        <f aca="false">IF(AND(J$5&gt;$D8,MOD(J$5-$D8,$E8)=0),$C8,0)</f>
        <v>0</v>
      </c>
      <c r="K8" s="5" t="n">
        <f aca="false">IF(AND(K$5&gt;$D8,MOD(K$5-$D8,$E8)=0),$C8,0)</f>
        <v>0</v>
      </c>
      <c r="L8" s="5" t="n">
        <f aca="false">IF(AND(L$5&gt;$D8,MOD(L$5-$D8,$E8)=0),$C8,0)</f>
        <v>0</v>
      </c>
      <c r="M8" s="5" t="n">
        <f aca="false">IF(AND(M$5&gt;$D8,MOD(M$5-$D8,$E8)=0),$C8,0)</f>
        <v>4</v>
      </c>
      <c r="N8" s="5" t="n">
        <f aca="false">IF(AND(N$5&gt;$D8,MOD(N$5-$D8,$E8)=0),$C8,0)</f>
        <v>0</v>
      </c>
      <c r="O8" s="5" t="n">
        <f aca="false">IF(AND(O$5&gt;$D8,MOD(O$5-$D8,$E8)=0),$C8,0)</f>
        <v>0</v>
      </c>
      <c r="P8" s="5" t="n">
        <f aca="false">IF(AND(P$5&gt;$D8,MOD(P$5-$D8,$E8)=0),$C8,0)</f>
        <v>0</v>
      </c>
    </row>
    <row r="9" customFormat="false" ht="15" hidden="false" customHeight="false" outlineLevel="0" collapsed="false">
      <c r="A9" s="0" t="s">
        <v>371</v>
      </c>
      <c r="B9" s="0" t="s">
        <v>370</v>
      </c>
      <c r="C9" s="5" t="n">
        <v>11</v>
      </c>
      <c r="D9" s="5" t="n">
        <v>2022</v>
      </c>
      <c r="E9" s="5" t="n">
        <v>5</v>
      </c>
      <c r="F9" s="5" t="n">
        <v>2027</v>
      </c>
      <c r="G9" s="5" t="n">
        <f aca="false">IF(AND(G$5&gt;$D9,MOD(G$5-$D9,$E9)=0),$C9,0)</f>
        <v>0</v>
      </c>
      <c r="H9" s="5" t="n">
        <f aca="false">IF(AND(H$5&gt;$D9,MOD(H$5-$D9,$E9)=0),$C9,0)</f>
        <v>11</v>
      </c>
      <c r="I9" s="5" t="n">
        <f aca="false">IF(AND(I$5&gt;$D9,MOD(I$5-$D9,$E9)=0),$C9,0)</f>
        <v>0</v>
      </c>
      <c r="J9" s="5" t="n">
        <f aca="false">IF(AND(J$5&gt;$D9,MOD(J$5-$D9,$E9)=0),$C9,0)</f>
        <v>0</v>
      </c>
      <c r="K9" s="5" t="n">
        <f aca="false">IF(AND(K$5&gt;$D9,MOD(K$5-$D9,$E9)=0),$C9,0)</f>
        <v>0</v>
      </c>
      <c r="L9" s="5" t="n">
        <f aca="false">IF(AND(L$5&gt;$D9,MOD(L$5-$D9,$E9)=0),$C9,0)</f>
        <v>0</v>
      </c>
      <c r="M9" s="5" t="n">
        <f aca="false">IF(AND(M$5&gt;$D9,MOD(M$5-$D9,$E9)=0),$C9,0)</f>
        <v>11</v>
      </c>
      <c r="N9" s="5" t="n">
        <f aca="false">IF(AND(N$5&gt;$D9,MOD(N$5-$D9,$E9)=0),$C9,0)</f>
        <v>0</v>
      </c>
      <c r="O9" s="5" t="n">
        <f aca="false">IF(AND(O$5&gt;$D9,MOD(O$5-$D9,$E9)=0),$C9,0)</f>
        <v>0</v>
      </c>
      <c r="P9" s="5" t="n">
        <f aca="false">IF(AND(P$5&gt;$D9,MOD(P$5-$D9,$E9)=0),$C9,0)</f>
        <v>0</v>
      </c>
    </row>
    <row r="10" customFormat="false" ht="15" hidden="false" customHeight="false" outlineLevel="0" collapsed="false">
      <c r="A10" s="0" t="s">
        <v>372</v>
      </c>
      <c r="B10" s="0" t="s">
        <v>370</v>
      </c>
      <c r="C10" s="5" t="n">
        <v>4</v>
      </c>
      <c r="D10" s="5" t="n">
        <v>2022</v>
      </c>
      <c r="E10" s="5" t="n">
        <v>5</v>
      </c>
      <c r="F10" s="5" t="n">
        <v>2027</v>
      </c>
      <c r="G10" s="5" t="n">
        <f aca="false">IF(AND(G$5&gt;$D10,MOD(G$5-$D10,$E10)=0),$C10,0)</f>
        <v>0</v>
      </c>
      <c r="H10" s="5" t="n">
        <f aca="false">IF(AND(H$5&gt;$D10,MOD(H$5-$D10,$E10)=0),$C10,0)</f>
        <v>4</v>
      </c>
      <c r="I10" s="5" t="n">
        <f aca="false">IF(AND(I$5&gt;$D10,MOD(I$5-$D10,$E10)=0),$C10,0)</f>
        <v>0</v>
      </c>
      <c r="J10" s="5" t="n">
        <f aca="false">IF(AND(J$5&gt;$D10,MOD(J$5-$D10,$E10)=0),$C10,0)</f>
        <v>0</v>
      </c>
      <c r="K10" s="5" t="n">
        <f aca="false">IF(AND(K$5&gt;$D10,MOD(K$5-$D10,$E10)=0),$C10,0)</f>
        <v>0</v>
      </c>
      <c r="L10" s="5" t="n">
        <f aca="false">IF(AND(L$5&gt;$D10,MOD(L$5-$D10,$E10)=0),$C10,0)</f>
        <v>0</v>
      </c>
      <c r="M10" s="5" t="n">
        <f aca="false">IF(AND(M$5&gt;$D10,MOD(M$5-$D10,$E10)=0),$C10,0)</f>
        <v>4</v>
      </c>
      <c r="N10" s="5" t="n">
        <f aca="false">IF(AND(N$5&gt;$D10,MOD(N$5-$D10,$E10)=0),$C10,0)</f>
        <v>0</v>
      </c>
      <c r="O10" s="5" t="n">
        <f aca="false">IF(AND(O$5&gt;$D10,MOD(O$5-$D10,$E10)=0),$C10,0)</f>
        <v>0</v>
      </c>
      <c r="P10" s="5" t="n">
        <f aca="false">IF(AND(P$5&gt;$D10,MOD(P$5-$D10,$E10)=0),$C10,0)</f>
        <v>0</v>
      </c>
    </row>
    <row r="11" customFormat="false" ht="15" hidden="false" customHeight="false" outlineLevel="0" collapsed="false">
      <c r="A11" s="0" t="s">
        <v>373</v>
      </c>
      <c r="B11" s="0" t="s">
        <v>374</v>
      </c>
      <c r="C11" s="5" t="n">
        <v>4</v>
      </c>
      <c r="D11" s="5" t="n">
        <v>2022</v>
      </c>
      <c r="E11" s="5" t="n">
        <v>5</v>
      </c>
      <c r="F11" s="5" t="n">
        <v>2027</v>
      </c>
      <c r="G11" s="5" t="n">
        <f aca="false">IF(AND(G$5&gt;$D11,MOD(G$5-$D11,$E11)=0),$C11,0)</f>
        <v>0</v>
      </c>
      <c r="H11" s="5" t="n">
        <f aca="false">IF(AND(H$5&gt;$D11,MOD(H$5-$D11,$E11)=0),$C11,0)</f>
        <v>4</v>
      </c>
      <c r="I11" s="5" t="n">
        <f aca="false">IF(AND(I$5&gt;$D11,MOD(I$5-$D11,$E11)=0),$C11,0)</f>
        <v>0</v>
      </c>
      <c r="J11" s="5" t="n">
        <f aca="false">IF(AND(J$5&gt;$D11,MOD(J$5-$D11,$E11)=0),$C11,0)</f>
        <v>0</v>
      </c>
      <c r="K11" s="5" t="n">
        <f aca="false">IF(AND(K$5&gt;$D11,MOD(K$5-$D11,$E11)=0),$C11,0)</f>
        <v>0</v>
      </c>
      <c r="L11" s="5" t="n">
        <f aca="false">IF(AND(L$5&gt;$D11,MOD(L$5-$D11,$E11)=0),$C11,0)</f>
        <v>0</v>
      </c>
      <c r="M11" s="5" t="n">
        <f aca="false">IF(AND(M$5&gt;$D11,MOD(M$5-$D11,$E11)=0),$C11,0)</f>
        <v>4</v>
      </c>
      <c r="N11" s="5" t="n">
        <f aca="false">IF(AND(N$5&gt;$D11,MOD(N$5-$D11,$E11)=0),$C11,0)</f>
        <v>0</v>
      </c>
      <c r="O11" s="5" t="n">
        <f aca="false">IF(AND(O$5&gt;$D11,MOD(O$5-$D11,$E11)=0),$C11,0)</f>
        <v>0</v>
      </c>
      <c r="P11" s="5" t="n">
        <f aca="false">IF(AND(P$5&gt;$D11,MOD(P$5-$D11,$E11)=0),$C11,0)</f>
        <v>0</v>
      </c>
    </row>
    <row r="12" customFormat="false" ht="15" hidden="false" customHeight="false" outlineLevel="0" collapsed="false">
      <c r="A12" s="0" t="s">
        <v>375</v>
      </c>
      <c r="B12" s="0" t="s">
        <v>376</v>
      </c>
      <c r="C12" s="5" t="n">
        <v>40</v>
      </c>
      <c r="D12" s="5" t="n">
        <v>2023</v>
      </c>
      <c r="E12" s="5" t="n">
        <v>3</v>
      </c>
      <c r="F12" s="5" t="n">
        <v>2026</v>
      </c>
      <c r="G12" s="5" t="n">
        <f aca="false">IF(AND(G$5&gt;$D12,MOD(G$5-$D12,$E12)=0),$C12,0)</f>
        <v>40</v>
      </c>
      <c r="H12" s="5" t="n">
        <f aca="false">IF(AND(H$5&gt;$D12,MOD(H$5-$D12,$E12)=0),$C12,0)</f>
        <v>0</v>
      </c>
      <c r="I12" s="5" t="n">
        <f aca="false">IF(AND(I$5&gt;$D12,MOD(I$5-$D12,$E12)=0),$C12,0)</f>
        <v>0</v>
      </c>
      <c r="J12" s="5" t="n">
        <f aca="false">IF(AND(J$5&gt;$D12,MOD(J$5-$D12,$E12)=0),$C12,0)</f>
        <v>40</v>
      </c>
      <c r="K12" s="5" t="n">
        <f aca="false">IF(AND(K$5&gt;$D12,MOD(K$5-$D12,$E12)=0),$C12,0)</f>
        <v>0</v>
      </c>
      <c r="L12" s="5" t="n">
        <f aca="false">IF(AND(L$5&gt;$D12,MOD(L$5-$D12,$E12)=0),$C12,0)</f>
        <v>0</v>
      </c>
      <c r="M12" s="5" t="n">
        <f aca="false">IF(AND(M$5&gt;$D12,MOD(M$5-$D12,$E12)=0),$C12,0)</f>
        <v>40</v>
      </c>
      <c r="N12" s="5" t="n">
        <f aca="false">IF(AND(N$5&gt;$D12,MOD(N$5-$D12,$E12)=0),$C12,0)</f>
        <v>0</v>
      </c>
      <c r="O12" s="5" t="n">
        <f aca="false">IF(AND(O$5&gt;$D12,MOD(O$5-$D12,$E12)=0),$C12,0)</f>
        <v>0</v>
      </c>
      <c r="P12" s="5" t="n">
        <f aca="false">IF(AND(P$5&gt;$D12,MOD(P$5-$D12,$E12)=0),$C12,0)</f>
        <v>40</v>
      </c>
    </row>
    <row r="13" customFormat="false" ht="15" hidden="false" customHeight="false" outlineLevel="0" collapsed="false">
      <c r="A13" s="0" t="s">
        <v>377</v>
      </c>
      <c r="B13" s="0" t="s">
        <v>378</v>
      </c>
      <c r="C13" s="5" t="n">
        <v>15</v>
      </c>
      <c r="D13" s="5" t="n">
        <v>2023</v>
      </c>
      <c r="E13" s="5" t="n">
        <v>3</v>
      </c>
      <c r="F13" s="5" t="n">
        <v>2026</v>
      </c>
      <c r="G13" s="5" t="n">
        <f aca="false">IF(AND(G$5&gt;$D13,MOD(G$5-$D13,$E13)=0),$C13,0)</f>
        <v>15</v>
      </c>
      <c r="H13" s="5" t="n">
        <f aca="false">IF(AND(H$5&gt;$D13,MOD(H$5-$D13,$E13)=0),$C13,0)</f>
        <v>0</v>
      </c>
      <c r="I13" s="5" t="n">
        <f aca="false">IF(AND(I$5&gt;$D13,MOD(I$5-$D13,$E13)=0),$C13,0)</f>
        <v>0</v>
      </c>
      <c r="J13" s="5" t="n">
        <f aca="false">IF(AND(J$5&gt;$D13,MOD(J$5-$D13,$E13)=0),$C13,0)</f>
        <v>15</v>
      </c>
      <c r="K13" s="5" t="n">
        <f aca="false">IF(AND(K$5&gt;$D13,MOD(K$5-$D13,$E13)=0),$C13,0)</f>
        <v>0</v>
      </c>
      <c r="L13" s="5" t="n">
        <f aca="false">IF(AND(L$5&gt;$D13,MOD(L$5-$D13,$E13)=0),$C13,0)</f>
        <v>0</v>
      </c>
      <c r="M13" s="5" t="n">
        <f aca="false">IF(AND(M$5&gt;$D13,MOD(M$5-$D13,$E13)=0),$C13,0)</f>
        <v>15</v>
      </c>
      <c r="N13" s="5" t="n">
        <f aca="false">IF(AND(N$5&gt;$D13,MOD(N$5-$D13,$E13)=0),$C13,0)</f>
        <v>0</v>
      </c>
      <c r="O13" s="5" t="n">
        <f aca="false">IF(AND(O$5&gt;$D13,MOD(O$5-$D13,$E13)=0),$C13,0)</f>
        <v>0</v>
      </c>
      <c r="P13" s="5" t="n">
        <f aca="false">IF(AND(P$5&gt;$D13,MOD(P$5-$D13,$E13)=0),$C13,0)</f>
        <v>15</v>
      </c>
    </row>
    <row r="14" customFormat="false" ht="15" hidden="false" customHeight="false" outlineLevel="0" collapsed="false">
      <c r="A14" s="0" t="s">
        <v>379</v>
      </c>
      <c r="B14" s="0" t="s">
        <v>368</v>
      </c>
      <c r="C14" s="5" t="n">
        <v>32</v>
      </c>
      <c r="D14" s="5" t="n">
        <v>2023</v>
      </c>
      <c r="E14" s="5" t="n">
        <v>3</v>
      </c>
      <c r="F14" s="5" t="n">
        <v>2026</v>
      </c>
      <c r="G14" s="5" t="n">
        <f aca="false">IF(AND(G$5&gt;$D14,MOD(G$5-$D14,$E14)=0),$C14,0)</f>
        <v>32</v>
      </c>
      <c r="H14" s="5" t="n">
        <f aca="false">IF(AND(H$5&gt;$D14,MOD(H$5-$D14,$E14)=0),$C14,0)</f>
        <v>0</v>
      </c>
      <c r="I14" s="5" t="n">
        <f aca="false">IF(AND(I$5&gt;$D14,MOD(I$5-$D14,$E14)=0),$C14,0)</f>
        <v>0</v>
      </c>
      <c r="J14" s="5" t="n">
        <f aca="false">IF(AND(J$5&gt;$D14,MOD(J$5-$D14,$E14)=0),$C14,0)</f>
        <v>32</v>
      </c>
      <c r="K14" s="5" t="n">
        <f aca="false">IF(AND(K$5&gt;$D14,MOD(K$5-$D14,$E14)=0),$C14,0)</f>
        <v>0</v>
      </c>
      <c r="L14" s="5" t="n">
        <f aca="false">IF(AND(L$5&gt;$D14,MOD(L$5-$D14,$E14)=0),$C14,0)</f>
        <v>0</v>
      </c>
      <c r="M14" s="5" t="n">
        <f aca="false">IF(AND(M$5&gt;$D14,MOD(M$5-$D14,$E14)=0),$C14,0)</f>
        <v>32</v>
      </c>
      <c r="N14" s="5" t="n">
        <f aca="false">IF(AND(N$5&gt;$D14,MOD(N$5-$D14,$E14)=0),$C14,0)</f>
        <v>0</v>
      </c>
      <c r="O14" s="5" t="n">
        <f aca="false">IF(AND(O$5&gt;$D14,MOD(O$5-$D14,$E14)=0),$C14,0)</f>
        <v>0</v>
      </c>
      <c r="P14" s="5" t="n">
        <f aca="false">IF(AND(P$5&gt;$D14,MOD(P$5-$D14,$E14)=0),$C14,0)</f>
        <v>32</v>
      </c>
    </row>
    <row r="15" customFormat="false" ht="15" hidden="false" customHeight="false" outlineLevel="0" collapsed="false">
      <c r="A15" s="0" t="s">
        <v>380</v>
      </c>
      <c r="B15" s="0" t="s">
        <v>376</v>
      </c>
      <c r="C15" s="5" t="n">
        <v>32</v>
      </c>
      <c r="D15" s="5" t="n">
        <v>2023</v>
      </c>
      <c r="E15" s="5" t="n">
        <v>3</v>
      </c>
      <c r="F15" s="5" t="n">
        <v>2026</v>
      </c>
      <c r="G15" s="5" t="n">
        <f aca="false">IF(AND(G$5&gt;$D15,MOD(G$5-$D15,$E15)=0),$C15,0)</f>
        <v>32</v>
      </c>
      <c r="H15" s="5" t="n">
        <f aca="false">IF(AND(H$5&gt;$D15,MOD(H$5-$D15,$E15)=0),$C15,0)</f>
        <v>0</v>
      </c>
      <c r="I15" s="5" t="n">
        <f aca="false">IF(AND(I$5&gt;$D15,MOD(I$5-$D15,$E15)=0),$C15,0)</f>
        <v>0</v>
      </c>
      <c r="J15" s="5" t="n">
        <f aca="false">IF(AND(J$5&gt;$D15,MOD(J$5-$D15,$E15)=0),$C15,0)</f>
        <v>32</v>
      </c>
      <c r="K15" s="5" t="n">
        <f aca="false">IF(AND(K$5&gt;$D15,MOD(K$5-$D15,$E15)=0),$C15,0)</f>
        <v>0</v>
      </c>
      <c r="L15" s="5" t="n">
        <f aca="false">IF(AND(L$5&gt;$D15,MOD(L$5-$D15,$E15)=0),$C15,0)</f>
        <v>0</v>
      </c>
      <c r="M15" s="5" t="n">
        <f aca="false">IF(AND(M$5&gt;$D15,MOD(M$5-$D15,$E15)=0),$C15,0)</f>
        <v>32</v>
      </c>
      <c r="N15" s="5" t="n">
        <f aca="false">IF(AND(N$5&gt;$D15,MOD(N$5-$D15,$E15)=0),$C15,0)</f>
        <v>0</v>
      </c>
      <c r="O15" s="5" t="n">
        <f aca="false">IF(AND(O$5&gt;$D15,MOD(O$5-$D15,$E15)=0),$C15,0)</f>
        <v>0</v>
      </c>
      <c r="P15" s="5" t="n">
        <f aca="false">IF(AND(P$5&gt;$D15,MOD(P$5-$D15,$E15)=0),$C15,0)</f>
        <v>32</v>
      </c>
    </row>
    <row r="16" customFormat="false" ht="15" hidden="false" customHeight="false" outlineLevel="0" collapsed="false">
      <c r="A16" s="0" t="s">
        <v>381</v>
      </c>
      <c r="B16" s="0" t="s">
        <v>378</v>
      </c>
      <c r="C16" s="5" t="n">
        <v>32</v>
      </c>
      <c r="D16" s="5" t="n">
        <v>2023</v>
      </c>
      <c r="E16" s="5" t="n">
        <v>3</v>
      </c>
      <c r="F16" s="5" t="n">
        <v>2026</v>
      </c>
      <c r="G16" s="5" t="n">
        <f aca="false">IF(AND(G$5&gt;$D16,MOD(G$5-$D16,$E16)=0),$C16,0)</f>
        <v>32</v>
      </c>
      <c r="H16" s="5" t="n">
        <f aca="false">IF(AND(H$5&gt;$D16,MOD(H$5-$D16,$E16)=0),$C16,0)</f>
        <v>0</v>
      </c>
      <c r="I16" s="5" t="n">
        <f aca="false">IF(AND(I$5&gt;$D16,MOD(I$5-$D16,$E16)=0),$C16,0)</f>
        <v>0</v>
      </c>
      <c r="J16" s="5" t="n">
        <f aca="false">IF(AND(J$5&gt;$D16,MOD(J$5-$D16,$E16)=0),$C16,0)</f>
        <v>32</v>
      </c>
      <c r="K16" s="5" t="n">
        <f aca="false">IF(AND(K$5&gt;$D16,MOD(K$5-$D16,$E16)=0),$C16,0)</f>
        <v>0</v>
      </c>
      <c r="L16" s="5" t="n">
        <f aca="false">IF(AND(L$5&gt;$D16,MOD(L$5-$D16,$E16)=0),$C16,0)</f>
        <v>0</v>
      </c>
      <c r="M16" s="5" t="n">
        <f aca="false">IF(AND(M$5&gt;$D16,MOD(M$5-$D16,$E16)=0),$C16,0)</f>
        <v>32</v>
      </c>
      <c r="N16" s="5" t="n">
        <f aca="false">IF(AND(N$5&gt;$D16,MOD(N$5-$D16,$E16)=0),$C16,0)</f>
        <v>0</v>
      </c>
      <c r="O16" s="5" t="n">
        <f aca="false">IF(AND(O$5&gt;$D16,MOD(O$5-$D16,$E16)=0),$C16,0)</f>
        <v>0</v>
      </c>
      <c r="P16" s="5" t="n">
        <f aca="false">IF(AND(P$5&gt;$D16,MOD(P$5-$D16,$E16)=0),$C16,0)</f>
        <v>32</v>
      </c>
    </row>
    <row r="17" customFormat="false" ht="15" hidden="false" customHeight="false" outlineLevel="0" collapsed="false">
      <c r="A17" s="0" t="s">
        <v>382</v>
      </c>
      <c r="B17" s="0" t="s">
        <v>383</v>
      </c>
      <c r="C17" s="5" t="n">
        <v>12</v>
      </c>
      <c r="D17" s="5" t="n">
        <v>2023</v>
      </c>
      <c r="E17" s="5" t="n">
        <v>3</v>
      </c>
      <c r="F17" s="5" t="n">
        <v>2026</v>
      </c>
      <c r="G17" s="5" t="n">
        <f aca="false">IF(AND(G$5&gt;$D17,MOD(G$5-$D17,$E17)=0),$C17,0)</f>
        <v>12</v>
      </c>
      <c r="H17" s="5" t="n">
        <f aca="false">IF(AND(H$5&gt;$D17,MOD(H$5-$D17,$E17)=0),$C17,0)</f>
        <v>0</v>
      </c>
      <c r="I17" s="5" t="n">
        <f aca="false">IF(AND(I$5&gt;$D17,MOD(I$5-$D17,$E17)=0),$C17,0)</f>
        <v>0</v>
      </c>
      <c r="J17" s="5" t="n">
        <f aca="false">IF(AND(J$5&gt;$D17,MOD(J$5-$D17,$E17)=0),$C17,0)</f>
        <v>12</v>
      </c>
      <c r="K17" s="5" t="n">
        <f aca="false">IF(AND(K$5&gt;$D17,MOD(K$5-$D17,$E17)=0),$C17,0)</f>
        <v>0</v>
      </c>
      <c r="L17" s="5" t="n">
        <f aca="false">IF(AND(L$5&gt;$D17,MOD(L$5-$D17,$E17)=0),$C17,0)</f>
        <v>0</v>
      </c>
      <c r="M17" s="5" t="n">
        <f aca="false">IF(AND(M$5&gt;$D17,MOD(M$5-$D17,$E17)=0),$C17,0)</f>
        <v>12</v>
      </c>
      <c r="N17" s="5" t="n">
        <f aca="false">IF(AND(N$5&gt;$D17,MOD(N$5-$D17,$E17)=0),$C17,0)</f>
        <v>0</v>
      </c>
      <c r="O17" s="5" t="n">
        <f aca="false">IF(AND(O$5&gt;$D17,MOD(O$5-$D17,$E17)=0),$C17,0)</f>
        <v>0</v>
      </c>
      <c r="P17" s="5" t="n">
        <f aca="false">IF(AND(P$5&gt;$D17,MOD(P$5-$D17,$E17)=0),$C17,0)</f>
        <v>12</v>
      </c>
    </row>
    <row r="18" customFormat="false" ht="15" hidden="false" customHeight="false" outlineLevel="0" collapsed="false">
      <c r="A18" s="0" t="s">
        <v>384</v>
      </c>
      <c r="B18" s="0" t="s">
        <v>370</v>
      </c>
      <c r="C18" s="5" t="n">
        <v>22</v>
      </c>
      <c r="D18" s="5" t="n">
        <v>2023</v>
      </c>
      <c r="E18" s="5" t="n">
        <v>5</v>
      </c>
      <c r="F18" s="5" t="n">
        <v>2028</v>
      </c>
      <c r="G18" s="5" t="n">
        <f aca="false">IF(AND(G$5&gt;$D18,MOD(G$5-$D18,$E18)=0),$C18,0)</f>
        <v>0</v>
      </c>
      <c r="H18" s="5" t="n">
        <f aca="false">IF(AND(H$5&gt;$D18,MOD(H$5-$D18,$E18)=0),$C18,0)</f>
        <v>0</v>
      </c>
      <c r="I18" s="5" t="n">
        <f aca="false">IF(AND(I$5&gt;$D18,MOD(I$5-$D18,$E18)=0),$C18,0)</f>
        <v>22</v>
      </c>
      <c r="J18" s="5" t="n">
        <f aca="false">IF(AND(J$5&gt;$D18,MOD(J$5-$D18,$E18)=0),$C18,0)</f>
        <v>0</v>
      </c>
      <c r="K18" s="5" t="n">
        <f aca="false">IF(AND(K$5&gt;$D18,MOD(K$5-$D18,$E18)=0),$C18,0)</f>
        <v>0</v>
      </c>
      <c r="L18" s="5" t="n">
        <f aca="false">IF(AND(L$5&gt;$D18,MOD(L$5-$D18,$E18)=0),$C18,0)</f>
        <v>0</v>
      </c>
      <c r="M18" s="5" t="n">
        <f aca="false">IF(AND(M$5&gt;$D18,MOD(M$5-$D18,$E18)=0),$C18,0)</f>
        <v>0</v>
      </c>
      <c r="N18" s="5" t="n">
        <f aca="false">IF(AND(N$5&gt;$D18,MOD(N$5-$D18,$E18)=0),$C18,0)</f>
        <v>22</v>
      </c>
      <c r="O18" s="5" t="n">
        <f aca="false">IF(AND(O$5&gt;$D18,MOD(O$5-$D18,$E18)=0),$C18,0)</f>
        <v>0</v>
      </c>
      <c r="P18" s="5" t="n">
        <f aca="false">IF(AND(P$5&gt;$D18,MOD(P$5-$D18,$E18)=0),$C18,0)</f>
        <v>0</v>
      </c>
    </row>
    <row r="19" customFormat="false" ht="15" hidden="false" customHeight="false" outlineLevel="0" collapsed="false">
      <c r="A19" s="0" t="s">
        <v>385</v>
      </c>
      <c r="B19" s="0" t="s">
        <v>376</v>
      </c>
      <c r="C19" s="5" t="n">
        <v>50</v>
      </c>
      <c r="D19" s="5" t="n">
        <v>2024</v>
      </c>
      <c r="E19" s="5" t="n">
        <v>3</v>
      </c>
      <c r="F19" s="5" t="n">
        <v>2027</v>
      </c>
      <c r="G19" s="5" t="n">
        <f aca="false">IF(AND(G$5&gt;$D19,MOD(G$5-$D19,$E19)=0),$C19,0)</f>
        <v>0</v>
      </c>
      <c r="H19" s="5" t="n">
        <f aca="false">IF(AND(H$5&gt;$D19,MOD(H$5-$D19,$E19)=0),$C19,0)</f>
        <v>50</v>
      </c>
      <c r="I19" s="5" t="n">
        <f aca="false">IF(AND(I$5&gt;$D19,MOD(I$5-$D19,$E19)=0),$C19,0)</f>
        <v>0</v>
      </c>
      <c r="J19" s="5" t="n">
        <f aca="false">IF(AND(J$5&gt;$D19,MOD(J$5-$D19,$E19)=0),$C19,0)</f>
        <v>0</v>
      </c>
      <c r="K19" s="5" t="n">
        <f aca="false">IF(AND(K$5&gt;$D19,MOD(K$5-$D19,$E19)=0),$C19,0)</f>
        <v>50</v>
      </c>
      <c r="L19" s="5" t="n">
        <f aca="false">IF(AND(L$5&gt;$D19,MOD(L$5-$D19,$E19)=0),$C19,0)</f>
        <v>0</v>
      </c>
      <c r="M19" s="5" t="n">
        <f aca="false">IF(AND(M$5&gt;$D19,MOD(M$5-$D19,$E19)=0),$C19,0)</f>
        <v>0</v>
      </c>
      <c r="N19" s="5" t="n">
        <f aca="false">IF(AND(N$5&gt;$D19,MOD(N$5-$D19,$E19)=0),$C19,0)</f>
        <v>50</v>
      </c>
      <c r="O19" s="5" t="n">
        <f aca="false">IF(AND(O$5&gt;$D19,MOD(O$5-$D19,$E19)=0),$C19,0)</f>
        <v>0</v>
      </c>
      <c r="P19" s="5" t="n">
        <f aca="false">IF(AND(P$5&gt;$D19,MOD(P$5-$D19,$E19)=0),$C19,0)</f>
        <v>0</v>
      </c>
    </row>
    <row r="20" customFormat="false" ht="15" hidden="false" customHeight="false" outlineLevel="0" collapsed="false">
      <c r="A20" s="0" t="s">
        <v>386</v>
      </c>
      <c r="B20" s="0" t="s">
        <v>378</v>
      </c>
      <c r="C20" s="5" t="n">
        <v>55</v>
      </c>
      <c r="D20" s="5" t="n">
        <v>2024</v>
      </c>
      <c r="E20" s="5" t="n">
        <v>3</v>
      </c>
      <c r="F20" s="5" t="n">
        <v>2027</v>
      </c>
      <c r="G20" s="5" t="n">
        <f aca="false">IF(AND(G$5&gt;$D20,MOD(G$5-$D20,$E20)=0),$C20,0)</f>
        <v>0</v>
      </c>
      <c r="H20" s="5" t="n">
        <f aca="false">IF(AND(H$5&gt;$D20,MOD(H$5-$D20,$E20)=0),$C20,0)</f>
        <v>55</v>
      </c>
      <c r="I20" s="5" t="n">
        <f aca="false">IF(AND(I$5&gt;$D20,MOD(I$5-$D20,$E20)=0),$C20,0)</f>
        <v>0</v>
      </c>
      <c r="J20" s="5" t="n">
        <f aca="false">IF(AND(J$5&gt;$D20,MOD(J$5-$D20,$E20)=0),$C20,0)</f>
        <v>0</v>
      </c>
      <c r="K20" s="5" t="n">
        <f aca="false">IF(AND(K$5&gt;$D20,MOD(K$5-$D20,$E20)=0),$C20,0)</f>
        <v>55</v>
      </c>
      <c r="L20" s="5" t="n">
        <f aca="false">IF(AND(L$5&gt;$D20,MOD(L$5-$D20,$E20)=0),$C20,0)</f>
        <v>0</v>
      </c>
      <c r="M20" s="5" t="n">
        <f aca="false">IF(AND(M$5&gt;$D20,MOD(M$5-$D20,$E20)=0),$C20,0)</f>
        <v>0</v>
      </c>
      <c r="N20" s="5" t="n">
        <f aca="false">IF(AND(N$5&gt;$D20,MOD(N$5-$D20,$E20)=0),$C20,0)</f>
        <v>55</v>
      </c>
      <c r="O20" s="5" t="n">
        <f aca="false">IF(AND(O$5&gt;$D20,MOD(O$5-$D20,$E20)=0),$C20,0)</f>
        <v>0</v>
      </c>
      <c r="P20" s="5" t="n">
        <f aca="false">IF(AND(P$5&gt;$D20,MOD(P$5-$D20,$E20)=0),$C20,0)</f>
        <v>0</v>
      </c>
    </row>
    <row r="21" customFormat="false" ht="15" hidden="false" customHeight="false" outlineLevel="0" collapsed="false">
      <c r="A21" s="0" t="s">
        <v>387</v>
      </c>
      <c r="B21" s="0" t="s">
        <v>368</v>
      </c>
      <c r="C21" s="5" t="n">
        <v>30</v>
      </c>
      <c r="D21" s="5" t="n">
        <v>2024</v>
      </c>
      <c r="E21" s="5" t="n">
        <v>3</v>
      </c>
      <c r="F21" s="5" t="n">
        <v>2027</v>
      </c>
      <c r="G21" s="5" t="n">
        <f aca="false">IF(AND(G$5&gt;$D21,MOD(G$5-$D21,$E21)=0),$C21,0)</f>
        <v>0</v>
      </c>
      <c r="H21" s="5" t="n">
        <f aca="false">IF(AND(H$5&gt;$D21,MOD(H$5-$D21,$E21)=0),$C21,0)</f>
        <v>30</v>
      </c>
      <c r="I21" s="5" t="n">
        <f aca="false">IF(AND(I$5&gt;$D21,MOD(I$5-$D21,$E21)=0),$C21,0)</f>
        <v>0</v>
      </c>
      <c r="J21" s="5" t="n">
        <f aca="false">IF(AND(J$5&gt;$D21,MOD(J$5-$D21,$E21)=0),$C21,0)</f>
        <v>0</v>
      </c>
      <c r="K21" s="5" t="n">
        <f aca="false">IF(AND(K$5&gt;$D21,MOD(K$5-$D21,$E21)=0),$C21,0)</f>
        <v>30</v>
      </c>
      <c r="L21" s="5" t="n">
        <f aca="false">IF(AND(L$5&gt;$D21,MOD(L$5-$D21,$E21)=0),$C21,0)</f>
        <v>0</v>
      </c>
      <c r="M21" s="5" t="n">
        <f aca="false">IF(AND(M$5&gt;$D21,MOD(M$5-$D21,$E21)=0),$C21,0)</f>
        <v>0</v>
      </c>
      <c r="N21" s="5" t="n">
        <f aca="false">IF(AND(N$5&gt;$D21,MOD(N$5-$D21,$E21)=0),$C21,0)</f>
        <v>30</v>
      </c>
      <c r="O21" s="5" t="n">
        <f aca="false">IF(AND(O$5&gt;$D21,MOD(O$5-$D21,$E21)=0),$C21,0)</f>
        <v>0</v>
      </c>
      <c r="P21" s="5" t="n">
        <f aca="false">IF(AND(P$5&gt;$D21,MOD(P$5-$D21,$E21)=0),$C21,0)</f>
        <v>0</v>
      </c>
    </row>
    <row r="22" customFormat="false" ht="15" hidden="false" customHeight="false" outlineLevel="0" collapsed="false">
      <c r="A22" s="0" t="s">
        <v>388</v>
      </c>
      <c r="B22" s="0" t="s">
        <v>370</v>
      </c>
      <c r="C22" s="5" t="n">
        <v>25</v>
      </c>
      <c r="D22" s="5" t="n">
        <v>2024</v>
      </c>
      <c r="E22" s="5" t="n">
        <v>5</v>
      </c>
      <c r="F22" s="5" t="n">
        <v>2029</v>
      </c>
      <c r="G22" s="5" t="n">
        <f aca="false">IF(AND(G$5&gt;$D22,MOD(G$5-$D22,$E22)=0),$C22,0)</f>
        <v>0</v>
      </c>
      <c r="H22" s="5" t="n">
        <f aca="false">IF(AND(H$5&gt;$D22,MOD(H$5-$D22,$E22)=0),$C22,0)</f>
        <v>0</v>
      </c>
      <c r="I22" s="5" t="n">
        <f aca="false">IF(AND(I$5&gt;$D22,MOD(I$5-$D22,$E22)=0),$C22,0)</f>
        <v>0</v>
      </c>
      <c r="J22" s="5" t="n">
        <f aca="false">IF(AND(J$5&gt;$D22,MOD(J$5-$D22,$E22)=0),$C22,0)</f>
        <v>25</v>
      </c>
      <c r="K22" s="5" t="n">
        <f aca="false">IF(AND(K$5&gt;$D22,MOD(K$5-$D22,$E22)=0),$C22,0)</f>
        <v>0</v>
      </c>
      <c r="L22" s="5" t="n">
        <f aca="false">IF(AND(L$5&gt;$D22,MOD(L$5-$D22,$E22)=0),$C22,0)</f>
        <v>0</v>
      </c>
      <c r="M22" s="5" t="n">
        <f aca="false">IF(AND(M$5&gt;$D22,MOD(M$5-$D22,$E22)=0),$C22,0)</f>
        <v>0</v>
      </c>
      <c r="N22" s="5" t="n">
        <f aca="false">IF(AND(N$5&gt;$D22,MOD(N$5-$D22,$E22)=0),$C22,0)</f>
        <v>0</v>
      </c>
      <c r="O22" s="5" t="n">
        <f aca="false">IF(AND(O$5&gt;$D22,MOD(O$5-$D22,$E22)=0),$C22,0)</f>
        <v>25</v>
      </c>
      <c r="P22" s="5" t="n">
        <f aca="false">IF(AND(P$5&gt;$D22,MOD(P$5-$D22,$E22)=0),$C22,0)</f>
        <v>0</v>
      </c>
    </row>
    <row r="23" customFormat="false" ht="15" hidden="false" customHeight="false" outlineLevel="0" collapsed="false">
      <c r="A23" s="12" t="s">
        <v>389</v>
      </c>
      <c r="G23" s="5" t="n">
        <f aca="false">SUM(G7:G22)</f>
        <v>163</v>
      </c>
      <c r="H23" s="5" t="n">
        <f aca="false">SUM(H7:H22)</f>
        <v>158</v>
      </c>
      <c r="I23" s="5" t="n">
        <f aca="false">SUM(I7:I22)</f>
        <v>38</v>
      </c>
      <c r="J23" s="5" t="n">
        <f aca="false">SUM(J7:J22)</f>
        <v>188</v>
      </c>
      <c r="K23" s="5" t="n">
        <f aca="false">SUM(K7:K22)</f>
        <v>135</v>
      </c>
      <c r="L23" s="5" t="n">
        <f aca="false">SUM(L7:L22)</f>
        <v>16</v>
      </c>
      <c r="M23" s="5" t="n">
        <f aca="false">SUM(M7:M22)</f>
        <v>186</v>
      </c>
      <c r="N23" s="5" t="n">
        <f aca="false">SUM(N7:N22)</f>
        <v>157</v>
      </c>
      <c r="O23" s="5" t="n">
        <f aca="false">SUM(O7:O22)</f>
        <v>41</v>
      </c>
      <c r="P23" s="5" t="n">
        <f aca="false">SUM(P7:P22)</f>
        <v>163</v>
      </c>
    </row>
    <row r="25" customFormat="false" ht="15" hidden="false" customHeight="false" outlineLevel="0" collapsed="false">
      <c r="A25" s="16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19" min="2" style="0" width="14"/>
  </cols>
  <sheetData>
    <row r="1" customFormat="false" ht="26.85" hidden="false" customHeight="false" outlineLevel="0" collapsed="false">
      <c r="A1" s="2" t="s">
        <v>348</v>
      </c>
      <c r="B1" s="2" t="s">
        <v>391</v>
      </c>
      <c r="C1" s="2" t="s">
        <v>392</v>
      </c>
      <c r="D1" s="2" t="s">
        <v>393</v>
      </c>
      <c r="E1" s="2" t="s">
        <v>394</v>
      </c>
      <c r="F1" s="2" t="s">
        <v>395</v>
      </c>
    </row>
    <row r="2" customFormat="false" ht="15" hidden="false" customHeight="false" outlineLevel="0" collapsed="false">
      <c r="A2" s="0" t="s">
        <v>222</v>
      </c>
      <c r="B2" s="6" t="n">
        <f aca="false">'Ops Storage'!C51/1000</f>
        <v>0.352998947368421</v>
      </c>
      <c r="C2" s="6" t="n">
        <f aca="false">'Ops Storage'!C53/1000</f>
        <v>15.9854688458073</v>
      </c>
      <c r="D2" s="6" t="n">
        <f aca="false">'Ops Storage'!C55/1000</f>
        <v>3.5095635</v>
      </c>
      <c r="E2" s="6" t="n">
        <f aca="false">'Ops Storage'!C61/1000</f>
        <v>7.875506281668</v>
      </c>
      <c r="F2" s="6" t="n">
        <f aca="false">'Ops Storage'!C66/1000</f>
        <v>14.7355796274753</v>
      </c>
    </row>
    <row r="3" customFormat="false" ht="15" hidden="false" customHeight="false" outlineLevel="0" collapsed="false">
      <c r="A3" s="0" t="s">
        <v>223</v>
      </c>
      <c r="B3" s="6" t="n">
        <f aca="false">'Ops Storage'!D51/1000</f>
        <v>0.543416447368421</v>
      </c>
      <c r="C3" s="6" t="n">
        <f aca="false">'Ops Storage'!D53/1000</f>
        <v>20.2480746458073</v>
      </c>
      <c r="D3" s="6" t="n">
        <f aca="false">'Ops Storage'!D55/1000</f>
        <v>9.257301</v>
      </c>
      <c r="E3" s="6" t="n">
        <f aca="false">'Ops Storage'!D61/1000</f>
        <v>15.751012563336</v>
      </c>
      <c r="F3" s="6" t="n">
        <f aca="false">'Ops Storage'!D66/1000</f>
        <v>31.4615935549506</v>
      </c>
    </row>
    <row r="4" customFormat="false" ht="15" hidden="false" customHeight="false" outlineLevel="0" collapsed="false">
      <c r="A4" s="0" t="s">
        <v>224</v>
      </c>
      <c r="B4" s="6" t="n">
        <f aca="false">'Ops Storage'!E51/1000</f>
        <v>0.758901647368421</v>
      </c>
      <c r="C4" s="6" t="n">
        <f aca="false">'Ops Storage'!E53/1000</f>
        <v>24.4423698458073</v>
      </c>
      <c r="D4" s="6" t="n">
        <f aca="false">'Ops Storage'!E55/1000</f>
        <v>17.2752168</v>
      </c>
      <c r="E4" s="6" t="n">
        <f aca="false">'Ops Storage'!E61/1000</f>
        <v>20.865816845004</v>
      </c>
      <c r="F4" s="6" t="n">
        <f aca="false">'Ops Storage'!E66/1000</f>
        <v>50.0866566824259</v>
      </c>
    </row>
    <row r="5" customFormat="false" ht="15" hidden="false" customHeight="false" outlineLevel="0" collapsed="false">
      <c r="A5" s="0" t="s">
        <v>225</v>
      </c>
      <c r="B5" s="6" t="n">
        <f aca="false">'Ops Storage'!F51/1000</f>
        <v>0.840047447368421</v>
      </c>
      <c r="C5" s="6" t="n">
        <f aca="false">'Ops Storage'!F53/1000</f>
        <v>28.5610981658073</v>
      </c>
      <c r="D5" s="6" t="n">
        <f aca="false">'Ops Storage'!F55/1000</f>
        <v>24.1437621</v>
      </c>
      <c r="E5" s="6" t="n">
        <f aca="false">'Ops Storage'!F61/1000</f>
        <v>21.982821126672</v>
      </c>
      <c r="F5" s="6" t="n">
        <f aca="false">'Ops Storage'!F66/1000</f>
        <v>70.4481745299011</v>
      </c>
    </row>
    <row r="6" customFormat="false" ht="15" hidden="false" customHeight="false" outlineLevel="0" collapsed="false">
      <c r="A6" s="0" t="s">
        <v>226</v>
      </c>
      <c r="B6" s="6" t="n">
        <f aca="false">'Ops Storage'!G51/1000</f>
        <v>0.907872347368421</v>
      </c>
      <c r="C6" s="6" t="n">
        <f aca="false">'Ops Storage'!G53/1000</f>
        <v>32.4888299258073</v>
      </c>
      <c r="D6" s="6" t="n">
        <f aca="false">'Ops Storage'!G55/1000</f>
        <v>31.2765666</v>
      </c>
      <c r="E6" s="6" t="n">
        <f aca="false">'Ops Storage'!G61/1000</f>
        <v>23.09982540834</v>
      </c>
      <c r="F6" s="6" t="n">
        <f aca="false">'Ops Storage'!G66/1000</f>
        <v>92.2143143373764</v>
      </c>
    </row>
    <row r="7" customFormat="false" ht="15" hidden="false" customHeight="false" outlineLevel="0" collapsed="false">
      <c r="A7" s="0" t="s">
        <v>227</v>
      </c>
      <c r="B7" s="6" t="n">
        <f aca="false">'Ops Storage'!H51/1000</f>
        <v>0.971033747368421</v>
      </c>
      <c r="C7" s="6" t="n">
        <f aca="false">'Ops Storage'!H53/1000</f>
        <v>36.5267641658073</v>
      </c>
      <c r="D7" s="6" t="n">
        <f aca="false">'Ops Storage'!H55/1000</f>
        <v>38.7337338</v>
      </c>
      <c r="E7" s="6" t="n">
        <f aca="false">'Ops Storage'!H61/1000</f>
        <v>24.216829690008</v>
      </c>
      <c r="F7" s="6" t="n">
        <f aca="false">'Ops Storage'!H66/1000</f>
        <v>115.403443184852</v>
      </c>
    </row>
    <row r="8" customFormat="false" ht="15" hidden="false" customHeight="false" outlineLevel="0" collapsed="false">
      <c r="A8" s="0" t="s">
        <v>228</v>
      </c>
      <c r="B8" s="6" t="n">
        <f aca="false">'Ops Storage'!I51/1000</f>
        <v>1.03148314736842</v>
      </c>
      <c r="C8" s="6" t="n">
        <f aca="false">'Ops Storage'!I53/1000</f>
        <v>40.7188439258073</v>
      </c>
      <c r="D8" s="6" t="n">
        <f aca="false">'Ops Storage'!I55/1000</f>
        <v>46.5547392</v>
      </c>
      <c r="E8" s="6" t="n">
        <f aca="false">'Ops Storage'!I61/1000</f>
        <v>25.333833971676</v>
      </c>
      <c r="F8" s="6" t="n">
        <f aca="false">'Ops Storage'!I66/1000</f>
        <v>140.041251992327</v>
      </c>
    </row>
    <row r="9" customFormat="false" ht="15" hidden="false" customHeight="false" outlineLevel="0" collapsed="false">
      <c r="A9" s="0" t="s">
        <v>229</v>
      </c>
      <c r="B9" s="6" t="n">
        <f aca="false">'Ops Storage'!J51/1000</f>
        <v>1.09083904736842</v>
      </c>
      <c r="C9" s="6" t="n">
        <f aca="false">'Ops Storage'!J53/1000</f>
        <v>45.0538336058073</v>
      </c>
      <c r="D9" s="6" t="n">
        <f aca="false">'Ops Storage'!J55/1000</f>
        <v>54.7162197</v>
      </c>
      <c r="E9" s="6" t="n">
        <f aca="false">'Ops Storage'!J61/1000</f>
        <v>26.450838253344</v>
      </c>
      <c r="F9" s="6" t="n">
        <f aca="false">'Ops Storage'!J66/1000</f>
        <v>166.151559079802</v>
      </c>
    </row>
    <row r="10" customFormat="false" ht="15" hidden="false" customHeight="false" outlineLevel="0" collapsed="false">
      <c r="A10" s="0" t="s">
        <v>230</v>
      </c>
      <c r="B10" s="6" t="n">
        <f aca="false">'Ops Storage'!K51/1000</f>
        <v>1.14738604736842</v>
      </c>
      <c r="C10" s="6" t="n">
        <f aca="false">'Ops Storage'!K53/1000</f>
        <v>49.4823318458073</v>
      </c>
      <c r="D10" s="6" t="n">
        <f aca="false">'Ops Storage'!K55/1000</f>
        <v>63.2059791</v>
      </c>
      <c r="E10" s="6" t="n">
        <f aca="false">'Ops Storage'!K61/1000</f>
        <v>27.567842535012</v>
      </c>
      <c r="F10" s="6" t="n">
        <f aca="false">'Ops Storage'!K66/1000</f>
        <v>193.749949207278</v>
      </c>
    </row>
    <row r="11" customFormat="false" ht="15" hidden="false" customHeight="false" outlineLevel="0" collapsed="false">
      <c r="A11" s="0" t="s">
        <v>231</v>
      </c>
      <c r="B11" s="6" t="n">
        <f aca="false">'Ops Storage'!L51/1000</f>
        <v>1.20216904736842</v>
      </c>
      <c r="C11" s="6" t="n">
        <f aca="false">'Ops Storage'!L53/1000</f>
        <v>54.0572226458073</v>
      </c>
      <c r="D11" s="6" t="n">
        <f aca="false">'Ops Storage'!L55/1000</f>
        <v>72.0165117</v>
      </c>
      <c r="E11" s="6" t="n">
        <f aca="false">'Ops Storage'!L61/1000</f>
        <v>28.68484681668</v>
      </c>
      <c r="F11" s="6" t="n">
        <f aca="false">'Ops Storage'!L66/1000</f>
        <v>222.860821134753</v>
      </c>
    </row>
    <row r="13" customFormat="false" ht="26.85" hidden="false" customHeight="false" outlineLevel="0" collapsed="false">
      <c r="A13" s="2" t="s">
        <v>348</v>
      </c>
      <c r="B13" s="2" t="s">
        <v>396</v>
      </c>
      <c r="C13" s="2" t="s">
        <v>393</v>
      </c>
      <c r="D13" s="2" t="s">
        <v>394</v>
      </c>
    </row>
    <row r="14" customFormat="false" ht="15" hidden="false" customHeight="false" outlineLevel="0" collapsed="false">
      <c r="A14" s="0" t="s">
        <v>80</v>
      </c>
      <c r="B14" s="6" t="n">
        <f aca="false">'Ops Storage'!C51/1000</f>
        <v>0.352998947368421</v>
      </c>
      <c r="C14" s="6" t="n">
        <f aca="false">'Ops Storage'!C55/1000</f>
        <v>3.5095635</v>
      </c>
      <c r="D14" s="6" t="n">
        <f aca="false">'Ops Storage'!C61/1000</f>
        <v>7.875506281668</v>
      </c>
    </row>
    <row r="15" customFormat="false" ht="15" hidden="false" customHeight="false" outlineLevel="0" collapsed="false">
      <c r="A15" s="0" t="s">
        <v>81</v>
      </c>
      <c r="B15" s="6" t="n">
        <f aca="false">'Ops Storage'!D51/1000</f>
        <v>0.543416447368421</v>
      </c>
      <c r="C15" s="6" t="n">
        <f aca="false">'Ops Storage'!D55/1000</f>
        <v>9.257301</v>
      </c>
      <c r="D15" s="6" t="n">
        <f aca="false">'Ops Storage'!D61/1000</f>
        <v>15.751012563336</v>
      </c>
    </row>
    <row r="16" customFormat="false" ht="15" hidden="false" customHeight="false" outlineLevel="0" collapsed="false">
      <c r="A16" s="0" t="s">
        <v>82</v>
      </c>
      <c r="B16" s="6" t="n">
        <f aca="false">'Ops Storage'!E51/1000</f>
        <v>0.758901647368421</v>
      </c>
      <c r="C16" s="6" t="n">
        <f aca="false">'Ops Storage'!E55/1000</f>
        <v>17.2752168</v>
      </c>
      <c r="D16" s="6" t="n">
        <f aca="false">'Ops Storage'!E61/1000</f>
        <v>20.865816845004</v>
      </c>
    </row>
    <row r="17" customFormat="false" ht="15" hidden="false" customHeight="false" outlineLevel="0" collapsed="false">
      <c r="A17" s="0" t="s">
        <v>83</v>
      </c>
      <c r="B17" s="6" t="n">
        <f aca="false">'Ops Storage'!F51/1000</f>
        <v>0.840047447368421</v>
      </c>
      <c r="C17" s="6" t="n">
        <f aca="false">'Ops Storage'!F55/1000</f>
        <v>24.1437621</v>
      </c>
      <c r="D17" s="6" t="n">
        <f aca="false">'Ops Storage'!F61/1000</f>
        <v>21.982821126672</v>
      </c>
    </row>
    <row r="18" customFormat="false" ht="15" hidden="false" customHeight="false" outlineLevel="0" collapsed="false">
      <c r="A18" s="0" t="s">
        <v>84</v>
      </c>
      <c r="B18" s="6" t="n">
        <f aca="false">'Ops Storage'!G51/1000</f>
        <v>0.907872347368421</v>
      </c>
      <c r="C18" s="6" t="n">
        <f aca="false">'Ops Storage'!G55/1000</f>
        <v>31.2765666</v>
      </c>
      <c r="D18" s="6" t="n">
        <f aca="false">'Ops Storage'!G61/1000</f>
        <v>23.09982540834</v>
      </c>
    </row>
    <row r="19" customFormat="false" ht="15" hidden="false" customHeight="false" outlineLevel="0" collapsed="false">
      <c r="A19" s="0" t="s">
        <v>85</v>
      </c>
      <c r="B19" s="6" t="n">
        <f aca="false">'Ops Storage'!H51/1000</f>
        <v>0.971033747368421</v>
      </c>
      <c r="C19" s="6" t="n">
        <f aca="false">'Ops Storage'!H55/1000</f>
        <v>38.7337338</v>
      </c>
      <c r="D19" s="6" t="n">
        <f aca="false">'Ops Storage'!H61/1000</f>
        <v>24.216829690008</v>
      </c>
    </row>
    <row r="20" customFormat="false" ht="15" hidden="false" customHeight="false" outlineLevel="0" collapsed="false">
      <c r="A20" s="0" t="s">
        <v>86</v>
      </c>
      <c r="B20" s="6" t="n">
        <f aca="false">'Ops Storage'!I51/1000</f>
        <v>1.03148314736842</v>
      </c>
      <c r="C20" s="6" t="n">
        <f aca="false">'Ops Storage'!I55/1000</f>
        <v>46.5547392</v>
      </c>
      <c r="D20" s="6" t="n">
        <f aca="false">'Ops Storage'!I61/1000</f>
        <v>25.333833971676</v>
      </c>
    </row>
    <row r="21" customFormat="false" ht="15" hidden="false" customHeight="false" outlineLevel="0" collapsed="false">
      <c r="A21" s="0" t="s">
        <v>87</v>
      </c>
      <c r="B21" s="6" t="n">
        <f aca="false">'Ops Storage'!J51/1000</f>
        <v>1.09083904736842</v>
      </c>
      <c r="C21" s="6" t="n">
        <f aca="false">'Ops Storage'!J55/1000</f>
        <v>54.7162197</v>
      </c>
      <c r="D21" s="6" t="n">
        <f aca="false">'Ops Storage'!J61/1000</f>
        <v>26.450838253344</v>
      </c>
    </row>
    <row r="22" customFormat="false" ht="15" hidden="false" customHeight="false" outlineLevel="0" collapsed="false">
      <c r="A22" s="0" t="s">
        <v>88</v>
      </c>
      <c r="B22" s="6" t="n">
        <f aca="false">'Ops Storage'!K51/1000</f>
        <v>1.14738604736842</v>
      </c>
      <c r="C22" s="6" t="n">
        <f aca="false">'Ops Storage'!K55/1000</f>
        <v>63.2059791</v>
      </c>
      <c r="D22" s="6" t="n">
        <f aca="false">'Ops Storage'!K61/1000</f>
        <v>27.567842535012</v>
      </c>
    </row>
    <row r="23" customFormat="false" ht="15" hidden="false" customHeight="false" outlineLevel="0" collapsed="false">
      <c r="A23" s="0" t="s">
        <v>89</v>
      </c>
      <c r="B23" s="6" t="n">
        <f aca="false">'Ops Storage'!L51/1000</f>
        <v>1.20216904736842</v>
      </c>
      <c r="C23" s="6" t="n">
        <f aca="false">'Ops Storage'!L55/1000</f>
        <v>72.0165117</v>
      </c>
      <c r="D23" s="6" t="n">
        <f aca="false">'Ops Storage'!L61/1000</f>
        <v>28.68484681668</v>
      </c>
    </row>
    <row r="25" customFormat="false" ht="39.55" hidden="false" customHeight="false" outlineLevel="0" collapsed="false">
      <c r="A25" s="2" t="s">
        <v>348</v>
      </c>
      <c r="B25" s="2" t="s">
        <v>397</v>
      </c>
      <c r="C25" s="2" t="s">
        <v>398</v>
      </c>
      <c r="D25" s="2" t="s">
        <v>399</v>
      </c>
      <c r="E25" s="2" t="s">
        <v>400</v>
      </c>
      <c r="F25" s="2" t="s">
        <v>401</v>
      </c>
    </row>
    <row r="26" customFormat="false" ht="15" hidden="false" customHeight="false" outlineLevel="0" collapsed="false">
      <c r="A26" s="0" t="s">
        <v>80</v>
      </c>
      <c r="B26" s="6" t="n">
        <f aca="false">'Ops Storage'!C57/1000</f>
        <v>1.117004281668</v>
      </c>
      <c r="C26" s="6" t="n">
        <f aca="false">'Ops Storage'!C58/1000</f>
        <v>1.080702</v>
      </c>
      <c r="D26" s="6" t="n">
        <f aca="false">'Ops Storage'!C59/1000</f>
        <v>2.7</v>
      </c>
      <c r="E26" s="6" t="n">
        <f aca="false">'Ops Storage'!C60/1000</f>
        <v>1.2978</v>
      </c>
      <c r="F26" s="6" t="n">
        <f aca="false">('Ops Storage'!C42+'Ops Storage'!C43)/1000</f>
        <v>3.6659835</v>
      </c>
    </row>
    <row r="27" customFormat="false" ht="15" hidden="false" customHeight="false" outlineLevel="0" collapsed="false">
      <c r="A27" s="0" t="s">
        <v>81</v>
      </c>
      <c r="B27" s="6" t="n">
        <f aca="false">'Ops Storage'!D57/1000</f>
        <v>2.234008563336</v>
      </c>
      <c r="C27" s="6" t="n">
        <f aca="false">'Ops Storage'!D58/1000</f>
        <v>2.161404</v>
      </c>
      <c r="D27" s="6" t="n">
        <f aca="false">'Ops Storage'!D59/1000</f>
        <v>5.4</v>
      </c>
      <c r="E27" s="6" t="n">
        <f aca="false">'Ops Storage'!D60/1000</f>
        <v>2.5956</v>
      </c>
      <c r="F27" s="6" t="n">
        <f aca="false">('Ops Storage'!D42+'Ops Storage'!D43)/1000</f>
        <v>5.938155</v>
      </c>
    </row>
    <row r="28" customFormat="false" ht="15" hidden="false" customHeight="false" outlineLevel="0" collapsed="false">
      <c r="A28" s="0" t="s">
        <v>82</v>
      </c>
      <c r="B28" s="6" t="n">
        <f aca="false">'Ops Storage'!E57/1000</f>
        <v>3.351012845004</v>
      </c>
      <c r="C28" s="6" t="n">
        <f aca="false">'Ops Storage'!E58/1000</f>
        <v>2.161404</v>
      </c>
      <c r="D28" s="6" t="n">
        <f aca="false">'Ops Storage'!E59/1000</f>
        <v>8.1</v>
      </c>
      <c r="E28" s="6" t="n">
        <f aca="false">'Ops Storage'!E60/1000</f>
        <v>3.8934</v>
      </c>
      <c r="F28" s="6" t="n">
        <f aca="false">('Ops Storage'!E42+'Ops Storage'!E43)/1000</f>
        <v>8.233401</v>
      </c>
    </row>
    <row r="29" customFormat="false" ht="15" hidden="false" customHeight="false" outlineLevel="0" collapsed="false">
      <c r="A29" s="0" t="s">
        <v>83</v>
      </c>
      <c r="B29" s="6" t="n">
        <f aca="false">'Ops Storage'!F57/1000</f>
        <v>4.468017126672</v>
      </c>
      <c r="C29" s="6" t="n">
        <f aca="false">'Ops Storage'!F58/1000</f>
        <v>2.161404</v>
      </c>
      <c r="D29" s="6" t="n">
        <f aca="false">'Ops Storage'!F59/1000</f>
        <v>8.1</v>
      </c>
      <c r="E29" s="6" t="n">
        <f aca="false">'Ops Storage'!F60/1000</f>
        <v>3.8934</v>
      </c>
      <c r="F29" s="6" t="n">
        <f aca="false">('Ops Storage'!F42+'Ops Storage'!F43)/1000</f>
        <v>10.6156746</v>
      </c>
    </row>
    <row r="30" customFormat="false" ht="15" hidden="false" customHeight="false" outlineLevel="0" collapsed="false">
      <c r="A30" s="0" t="s">
        <v>84</v>
      </c>
      <c r="B30" s="6" t="n">
        <f aca="false">'Ops Storage'!G57/1000</f>
        <v>5.58502140834</v>
      </c>
      <c r="C30" s="6" t="n">
        <f aca="false">'Ops Storage'!G58/1000</f>
        <v>2.161404</v>
      </c>
      <c r="D30" s="6" t="n">
        <f aca="false">'Ops Storage'!G59/1000</f>
        <v>8.1</v>
      </c>
      <c r="E30" s="6" t="n">
        <f aca="false">'Ops Storage'!G60/1000</f>
        <v>3.8934</v>
      </c>
      <c r="F30" s="6" t="n">
        <f aca="false">('Ops Storage'!G42+'Ops Storage'!G43)/1000</f>
        <v>13.1387844</v>
      </c>
    </row>
    <row r="31" customFormat="false" ht="15" hidden="false" customHeight="false" outlineLevel="0" collapsed="false">
      <c r="A31" s="0" t="s">
        <v>85</v>
      </c>
      <c r="B31" s="6" t="n">
        <f aca="false">'Ops Storage'!H57/1000</f>
        <v>6.702025690008</v>
      </c>
      <c r="C31" s="6" t="n">
        <f aca="false">'Ops Storage'!H58/1000</f>
        <v>2.161404</v>
      </c>
      <c r="D31" s="6" t="n">
        <f aca="false">'Ops Storage'!H59/1000</f>
        <v>8.1</v>
      </c>
      <c r="E31" s="6" t="n">
        <f aca="false">'Ops Storage'!H60/1000</f>
        <v>3.8934</v>
      </c>
      <c r="F31" s="6" t="n">
        <f aca="false">('Ops Storage'!H42+'Ops Storage'!H43)/1000</f>
        <v>15.7537296</v>
      </c>
    </row>
    <row r="32" customFormat="false" ht="15" hidden="false" customHeight="false" outlineLevel="0" collapsed="false">
      <c r="A32" s="0" t="s">
        <v>86</v>
      </c>
      <c r="B32" s="6" t="n">
        <f aca="false">'Ops Storage'!I57/1000</f>
        <v>7.819029971676</v>
      </c>
      <c r="C32" s="6" t="n">
        <f aca="false">'Ops Storage'!I58/1000</f>
        <v>2.161404</v>
      </c>
      <c r="D32" s="6" t="n">
        <f aca="false">'Ops Storage'!I59/1000</f>
        <v>8.1</v>
      </c>
      <c r="E32" s="6" t="n">
        <f aca="false">'Ops Storage'!I60/1000</f>
        <v>3.8934</v>
      </c>
      <c r="F32" s="6" t="n">
        <f aca="false">('Ops Storage'!I42+'Ops Storage'!I43)/1000</f>
        <v>18.4971294</v>
      </c>
    </row>
    <row r="33" customFormat="false" ht="15" hidden="false" customHeight="false" outlineLevel="0" collapsed="false">
      <c r="A33" s="0" t="s">
        <v>87</v>
      </c>
      <c r="B33" s="6" t="n">
        <f aca="false">'Ops Storage'!J57/1000</f>
        <v>8.936034253344</v>
      </c>
      <c r="C33" s="6" t="n">
        <f aca="false">'Ops Storage'!J58/1000</f>
        <v>2.161404</v>
      </c>
      <c r="D33" s="6" t="n">
        <f aca="false">'Ops Storage'!J59/1000</f>
        <v>8.1</v>
      </c>
      <c r="E33" s="6" t="n">
        <f aca="false">'Ops Storage'!J60/1000</f>
        <v>3.8934</v>
      </c>
      <c r="F33" s="6" t="n">
        <f aca="false">('Ops Storage'!J42+'Ops Storage'!J43)/1000</f>
        <v>21.3596208</v>
      </c>
    </row>
    <row r="34" customFormat="false" ht="15" hidden="false" customHeight="false" outlineLevel="0" collapsed="false">
      <c r="A34" s="0" t="s">
        <v>88</v>
      </c>
      <c r="B34" s="6" t="n">
        <f aca="false">'Ops Storage'!K57/1000</f>
        <v>10.053038535012</v>
      </c>
      <c r="C34" s="6" t="n">
        <f aca="false">'Ops Storage'!K58/1000</f>
        <v>2.161404</v>
      </c>
      <c r="D34" s="6" t="n">
        <f aca="false">'Ops Storage'!K59/1000</f>
        <v>8.1</v>
      </c>
      <c r="E34" s="6" t="n">
        <f aca="false">'Ops Storage'!K60/1000</f>
        <v>3.8934</v>
      </c>
      <c r="F34" s="6" t="n">
        <f aca="false">('Ops Storage'!K42+'Ops Storage'!K43)/1000</f>
        <v>24.300036</v>
      </c>
    </row>
    <row r="35" customFormat="false" ht="15" hidden="false" customHeight="false" outlineLevel="0" collapsed="false">
      <c r="A35" s="0" t="s">
        <v>89</v>
      </c>
      <c r="B35" s="6" t="n">
        <f aca="false">'Ops Storage'!L57/1000</f>
        <v>11.17004281668</v>
      </c>
      <c r="C35" s="6" t="n">
        <f aca="false">'Ops Storage'!L58/1000</f>
        <v>2.161404</v>
      </c>
      <c r="D35" s="6" t="n">
        <f aca="false">'Ops Storage'!L59/1000</f>
        <v>8.1</v>
      </c>
      <c r="E35" s="6" t="n">
        <f aca="false">'Ops Storage'!L60/1000</f>
        <v>3.8934</v>
      </c>
      <c r="F35" s="6" t="n">
        <f aca="false">('Ops Storage'!L42+'Ops Storage'!L43)/1000</f>
        <v>27.362445</v>
      </c>
    </row>
    <row r="37" customFormat="false" ht="26.85" hidden="false" customHeight="false" outlineLevel="0" collapsed="false">
      <c r="A37" s="2" t="s">
        <v>348</v>
      </c>
      <c r="B37" s="2" t="s">
        <v>402</v>
      </c>
    </row>
    <row r="38" customFormat="false" ht="15" hidden="false" customHeight="false" outlineLevel="0" collapsed="false">
      <c r="A38" s="0" t="s">
        <v>80</v>
      </c>
      <c r="B38" s="5" t="n">
        <f aca="false">'Ops Compute'!C3</f>
        <v>16579199</v>
      </c>
    </row>
    <row r="39" customFormat="false" ht="15" hidden="false" customHeight="false" outlineLevel="0" collapsed="false">
      <c r="A39" s="0" t="s">
        <v>81</v>
      </c>
      <c r="B39" s="5" t="n">
        <f aca="false">'Ops Compute'!D3</f>
        <v>33158398</v>
      </c>
    </row>
    <row r="40" customFormat="false" ht="15" hidden="false" customHeight="false" outlineLevel="0" collapsed="false">
      <c r="A40" s="0" t="s">
        <v>82</v>
      </c>
      <c r="B40" s="5" t="n">
        <f aca="false">'Ops Compute'!E3</f>
        <v>49737597</v>
      </c>
    </row>
    <row r="41" customFormat="false" ht="15" hidden="false" customHeight="false" outlineLevel="0" collapsed="false">
      <c r="A41" s="0" t="s">
        <v>83</v>
      </c>
      <c r="B41" s="5" t="n">
        <f aca="false">'Ops Compute'!F3</f>
        <v>66316796</v>
      </c>
    </row>
    <row r="42" customFormat="false" ht="15" hidden="false" customHeight="false" outlineLevel="0" collapsed="false">
      <c r="A42" s="0" t="s">
        <v>84</v>
      </c>
      <c r="B42" s="5" t="n">
        <f aca="false">'Ops Compute'!G3</f>
        <v>82895995</v>
      </c>
    </row>
    <row r="43" customFormat="false" ht="15" hidden="false" customHeight="false" outlineLevel="0" collapsed="false">
      <c r="A43" s="0" t="s">
        <v>85</v>
      </c>
      <c r="B43" s="5" t="n">
        <f aca="false">'Ops Compute'!H3</f>
        <v>99475194</v>
      </c>
    </row>
    <row r="44" customFormat="false" ht="15" hidden="false" customHeight="false" outlineLevel="0" collapsed="false">
      <c r="A44" s="0" t="s">
        <v>86</v>
      </c>
      <c r="B44" s="5" t="n">
        <f aca="false">'Ops Compute'!I3</f>
        <v>116054393</v>
      </c>
    </row>
    <row r="45" customFormat="false" ht="15" hidden="false" customHeight="false" outlineLevel="0" collapsed="false">
      <c r="A45" s="0" t="s">
        <v>87</v>
      </c>
      <c r="B45" s="5" t="n">
        <f aca="false">'Ops Compute'!J3</f>
        <v>132633592</v>
      </c>
    </row>
    <row r="46" customFormat="false" ht="15" hidden="false" customHeight="false" outlineLevel="0" collapsed="false">
      <c r="A46" s="0" t="s">
        <v>88</v>
      </c>
      <c r="B46" s="5" t="n">
        <f aca="false">'Ops Compute'!K3</f>
        <v>149212791</v>
      </c>
    </row>
    <row r="47" customFormat="false" ht="15" hidden="false" customHeight="false" outlineLevel="0" collapsed="false">
      <c r="A47" s="0" t="s">
        <v>89</v>
      </c>
      <c r="B47" s="5" t="n">
        <f aca="false">'Ops Compute'!L3</f>
        <v>165791990</v>
      </c>
    </row>
    <row r="49" customFormat="false" ht="26.85" hidden="false" customHeight="false" outlineLevel="0" collapsed="false">
      <c r="A49" s="2" t="s">
        <v>348</v>
      </c>
      <c r="B49" s="2" t="s">
        <v>403</v>
      </c>
      <c r="C49" s="2" t="s">
        <v>404</v>
      </c>
    </row>
    <row r="50" customFormat="false" ht="15" hidden="false" customHeight="false" outlineLevel="0" collapsed="false">
      <c r="A50" s="0" t="s">
        <v>80</v>
      </c>
      <c r="B50" s="9" t="n">
        <f aca="false">'Ops Costs'!C25</f>
        <v>5.86561313460751</v>
      </c>
      <c r="C50" s="9" t="n">
        <f aca="false">'Ops Costs'!C26</f>
        <v>5.86561313460751</v>
      </c>
    </row>
    <row r="51" customFormat="false" ht="15" hidden="false" customHeight="false" outlineLevel="0" collapsed="false">
      <c r="A51" s="0" t="s">
        <v>81</v>
      </c>
      <c r="B51" s="9" t="n">
        <f aca="false">'Ops Costs'!D25</f>
        <v>5.58998353453818</v>
      </c>
      <c r="C51" s="9" t="n">
        <f aca="false">'Ops Costs'!D26</f>
        <v>11.4555966691457</v>
      </c>
    </row>
    <row r="52" customFormat="false" ht="15" hidden="false" customHeight="false" outlineLevel="0" collapsed="false">
      <c r="A52" s="0" t="s">
        <v>82</v>
      </c>
      <c r="B52" s="9" t="n">
        <f aca="false">'Ops Costs'!E25</f>
        <v>2.15846752381418</v>
      </c>
      <c r="C52" s="9" t="n">
        <f aca="false">'Ops Costs'!E26</f>
        <v>13.6140641929599</v>
      </c>
    </row>
    <row r="53" customFormat="false" ht="15" hidden="false" customHeight="false" outlineLevel="0" collapsed="false">
      <c r="A53" s="0" t="s">
        <v>83</v>
      </c>
      <c r="B53" s="9" t="n">
        <f aca="false">'Ops Costs'!F25</f>
        <v>6.85271308883498</v>
      </c>
      <c r="C53" s="9" t="n">
        <f aca="false">'Ops Costs'!F26</f>
        <v>20.4667772817948</v>
      </c>
    </row>
    <row r="54" customFormat="false" ht="15" hidden="false" customHeight="false" outlineLevel="0" collapsed="false">
      <c r="A54" s="0" t="s">
        <v>84</v>
      </c>
      <c r="B54" s="9" t="n">
        <f aca="false">'Ops Costs'!G25</f>
        <v>8.11331826705458</v>
      </c>
      <c r="C54" s="9" t="n">
        <f aca="false">'Ops Costs'!G26</f>
        <v>28.5800955488494</v>
      </c>
    </row>
    <row r="55" customFormat="false" ht="15" hidden="false" customHeight="false" outlineLevel="0" collapsed="false">
      <c r="A55" s="0" t="s">
        <v>85</v>
      </c>
      <c r="B55" s="9" t="n">
        <f aca="false">'Ops Costs'!H25</f>
        <v>4.92833794239778</v>
      </c>
      <c r="C55" s="9" t="n">
        <f aca="false">'Ops Costs'!H26</f>
        <v>33.5084334912472</v>
      </c>
    </row>
    <row r="56" customFormat="false" ht="15" hidden="false" customHeight="false" outlineLevel="0" collapsed="false">
      <c r="A56" s="0" t="s">
        <v>86</v>
      </c>
      <c r="B56" s="9" t="n">
        <f aca="false">'Ops Costs'!I25</f>
        <v>1.10827494422458</v>
      </c>
      <c r="C56" s="9" t="n">
        <f aca="false">'Ops Costs'!I26</f>
        <v>34.6167084354718</v>
      </c>
    </row>
    <row r="57" customFormat="false" ht="15" hidden="false" customHeight="false" outlineLevel="0" collapsed="false">
      <c r="A57" s="0" t="s">
        <v>87</v>
      </c>
      <c r="B57" s="9" t="n">
        <f aca="false">'Ops Costs'!J25</f>
        <v>6.38562450520738</v>
      </c>
      <c r="C57" s="9" t="n">
        <f aca="false">'Ops Costs'!J26</f>
        <v>41.0023329406792</v>
      </c>
    </row>
    <row r="58" customFormat="false" ht="15" hidden="false" customHeight="false" outlineLevel="0" collapsed="false">
      <c r="A58" s="0" t="s">
        <v>88</v>
      </c>
      <c r="B58" s="9" t="n">
        <f aca="false">'Ops Costs'!K25</f>
        <v>6.62061658827778</v>
      </c>
      <c r="C58" s="9" t="n">
        <f aca="false">'Ops Costs'!K26</f>
        <v>47.6229495289569</v>
      </c>
    </row>
    <row r="59" customFormat="false" ht="15" hidden="false" customHeight="false" outlineLevel="0" collapsed="false">
      <c r="A59" s="0" t="s">
        <v>89</v>
      </c>
      <c r="B59" s="9" t="n">
        <f aca="false">'Ops Costs'!L25</f>
        <v>0.680913647758178</v>
      </c>
      <c r="C59" s="9" t="n">
        <f aca="false">'Ops Costs'!L26</f>
        <v>48.3038631767151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2026-07-20T15:21:53Z</dcterms:created>
  <dc:creator>openpyxl</dc:creator>
  <dc:description/>
  <dc:language>en-US</dc:language>
  <cp:lastModifiedBy/>
  <dcterms:modified xsi:type="dcterms:W3CDTF">2026-07-20T10:22:12Z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