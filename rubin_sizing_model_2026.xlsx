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 Data" sheetId="1" state="visible" r:id="rId1"/>
    <sheet name="Ops Storage" sheetId="2" state="visible" r:id="rId2"/>
    <sheet name="Ops Compute" sheetId="3" state="visible" r:id="rId3"/>
    <sheet name="Model" sheetId="4" state="visible" r:id="rId4"/>
    <sheet name="Ops Costs" sheetId="5" state="visible" r:id="rId5"/>
    <sheet name="Purchase Plan" sheetId="6" state="visible" r:id="rId6"/>
    <sheet name="International Compute" sheetId="7" state="visible" r:id="rId7"/>
    <sheet name="Yearly Readiness" sheetId="8" state="visible" r:id="rId8"/>
    <sheet name="Charts" sheetId="9" state="visible" r:id="rId9"/>
  </sheets>
  <definedNames>
    <definedName name="cpuFac">'Model'!$C$19</definedName>
    <definedName name="diskFac">'Model'!$C$20</definedName>
    <definedName name="qservFac">'Model'!$C$21</definedName>
    <definedName name="scaleYear">'Model'!$B$22</definedName>
    <definedName name="computeLifetime">'Model'!$B$23</definedName>
    <definedName name="storageLifetime">'Model'!$B$24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#,##0.0"/>
    <numFmt numFmtId="166" formatCode="$#,##0.000"/>
    <numFmt numFmtId="167" formatCode="#,##0.1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1F4E79"/>
      <sz val="11"/>
    </font>
    <font>
      <b val="1"/>
      <sz val="13"/>
    </font>
    <font>
      <b val="1"/>
      <color rgb="00C00000"/>
      <sz val="13"/>
    </font>
    <font>
      <b val="1"/>
      <color rgb="00C00000"/>
    </font>
    <font>
      <b val="1"/>
      <sz val="12"/>
    </font>
    <font>
      <b val="1"/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Storage Forecast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'Charts'!$B$2:$B$11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'Charts'!$C$2:$C$11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'Charts'!$D$2:$D$11</f>
            </numRef>
          </val>
        </ser>
        <ser>
          <idx val="3"/>
          <order val="3"/>
          <tx>
            <strRef>
              <f>'Charts'!E1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'Charts'!$E$2:$E$11</f>
            </numRef>
          </val>
        </ser>
        <ser>
          <idx val="4"/>
          <order val="4"/>
          <tx>
            <strRef>
              <f>'Charts'!F1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'Charts'!$F$2:$F$11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Storage Detail: Flash / Qserv / Object Store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'Charts'!$B$14:$B$23</f>
            </numRef>
          </val>
        </ser>
        <ser>
          <idx val="1"/>
          <order val="1"/>
          <tx>
            <strRef>
              <f>'Charts'!C13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'Charts'!$C$14:$C$23</f>
            </numRef>
          </val>
        </ser>
        <ser>
          <idx val="2"/>
          <order val="2"/>
          <tx>
            <strRef>
              <f>'Charts'!D13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'Charts'!$D$14:$D$23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 Product Size Breakdown</a:t>
            </a:r>
          </a:p>
        </rich>
      </tx>
    </title>
    <plotArea>
      <areaChart>
        <grouping val="stacked"/>
        <ser>
          <idx val="0"/>
          <order val="0"/>
          <tx>
            <strRef>
              <f>'Charts'!B25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'Charts'!$B$26:$B$35</f>
            </numRef>
          </val>
        </ser>
        <ser>
          <idx val="1"/>
          <order val="1"/>
          <tx>
            <strRef>
              <f>'Charts'!C25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'Charts'!$C$26:$C$35</f>
            </numRef>
          </val>
        </ser>
        <ser>
          <idx val="2"/>
          <order val="2"/>
          <tx>
            <strRef>
              <f>'Charts'!D25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'Charts'!$D$26:$D$35</f>
            </numRef>
          </val>
        </ser>
        <ser>
          <idx val="3"/>
          <order val="3"/>
          <tx>
            <strRef>
              <f>'Charts'!E25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'Charts'!$E$26:$E$35</f>
            </numRef>
          </val>
        </ser>
        <ser>
          <idx val="4"/>
          <order val="4"/>
          <tx>
            <strRef>
              <f>'Charts'!F25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'Charts'!$F$26:$F$35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DRP Core-Hours Projection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'Charts'!$A$38:$A$47</f>
            </numRef>
          </cat>
          <val>
            <numRef>
              <f>'Charts'!$B$38:$B$47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Core-Hours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Cost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'Charts'!$B$50:$B$59</f>
            </numRef>
          </val>
        </ser>
        <ser>
          <idx val="1"/>
          <order val="1"/>
          <tx>
            <strRef>
              <f>'Charts'!C49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'Charts'!$C$50:$C$59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32</row>
      <rowOff>0</rowOff>
    </from>
    <ext cx="1008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48</row>
      <rowOff>0</rowOff>
    </from>
    <ext cx="10080000" cy="57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64</row>
      <rowOff>0</rowOff>
    </from>
    <ext cx="1008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</cols>
  <sheetData>
    <row r="1">
      <c r="A1" s="1" t="inlineStr">
        <is>
          <t>Rubin USDF Sizing Model — Reference Data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Source / Notes</t>
        </is>
      </c>
    </row>
    <row r="4">
      <c r="A4" s="3" t="inlineStr">
        <is>
          <t>DRP Estimates</t>
        </is>
      </c>
    </row>
    <row r="5">
      <c r="A5" t="inlineStr">
        <is>
          <t>DR1 node-days</t>
        </is>
      </c>
      <c r="B5" t="n">
        <v>5700</v>
      </c>
      <c r="C5" t="inlineStr">
        <is>
          <t>Jim Bosch, DRP Resource Usage Estimates</t>
        </is>
      </c>
    </row>
    <row r="6">
      <c r="A6" t="inlineStr">
        <is>
          <t>Safety margin</t>
        </is>
      </c>
      <c r="B6" t="n">
        <v>1.5</v>
      </c>
      <c r="C6" t="inlineStr"/>
    </row>
    <row r="7">
      <c r="A7" t="inlineStr">
        <is>
          <t>Cores per node</t>
        </is>
      </c>
      <c r="B7" t="n">
        <v>120</v>
      </c>
      <c r="C7" t="inlineStr"/>
    </row>
    <row r="8">
      <c r="A8" t="inlineStr">
        <is>
          <t>Processing window (days)</t>
        </is>
      </c>
      <c r="B8" t="n">
        <v>200</v>
      </c>
      <c r="C8" t="inlineStr"/>
    </row>
    <row r="9">
      <c r="A9" t="inlineStr">
        <is>
          <t>DR1 total storage (PB)</t>
        </is>
      </c>
      <c r="B9" t="n">
        <v>47</v>
      </c>
      <c r="C9" t="inlineStr">
        <is>
          <t>Compressed</t>
        </is>
      </c>
    </row>
    <row r="10">
      <c r="A10" t="inlineStr">
        <is>
          <t>DR1 release products (PB)</t>
        </is>
      </c>
      <c r="B10" t="n">
        <v>1.6</v>
      </c>
      <c r="C10" t="inlineStr"/>
    </row>
    <row r="11">
      <c r="A11" t="inlineStr">
        <is>
          <t>Wall-to-CPU ratio</t>
        </is>
      </c>
      <c r="B11" t="n">
        <v>1.14</v>
      </c>
      <c r="C11" t="inlineStr"/>
    </row>
    <row r="12">
      <c r="A12" t="inlineStr">
        <is>
          <t>DR2 multiplier</t>
        </is>
      </c>
      <c r="B12" t="n">
        <v>2</v>
      </c>
      <c r="C12" t="inlineStr"/>
    </row>
    <row r="13">
      <c r="A13" s="3" t="inlineStr">
        <is>
          <t>Prompt Products (RFC-1134)</t>
        </is>
      </c>
    </row>
    <row r="14">
      <c r="A14" t="inlineStr">
        <is>
          <t>Tier 1 TB/night</t>
        </is>
      </c>
      <c r="B14" t="n">
        <v>5.6</v>
      </c>
      <c r="C14" t="inlineStr">
        <is>
          <t>Long-term retention until DR1</t>
        </is>
      </c>
    </row>
    <row r="15">
      <c r="A15" t="inlineStr">
        <is>
          <t>Tier 2 TB/night</t>
        </is>
      </c>
      <c r="B15" t="n">
        <v>6</v>
      </c>
      <c r="C15" t="inlineStr">
        <is>
          <t>30-day rolling</t>
        </is>
      </c>
    </row>
    <row r="16">
      <c r="A16" t="inlineStr">
        <is>
          <t>DR1 target year</t>
        </is>
      </c>
      <c r="B16" t="n">
        <v>2028</v>
      </c>
      <c r="C16" t="inlineStr"/>
    </row>
    <row r="17">
      <c r="A17" s="3" t="inlineStr">
        <is>
          <t>Qserv (from Igor)</t>
        </is>
      </c>
    </row>
    <row r="18">
      <c r="A18" t="inlineStr">
        <is>
          <t>Current nodes</t>
        </is>
      </c>
      <c r="B18" t="n">
        <v>92</v>
      </c>
      <c r="C18" t="inlineStr"/>
    </row>
    <row r="19">
      <c r="A19" t="inlineStr">
        <is>
          <t>Cores per node</t>
        </is>
      </c>
      <c r="B19" t="n">
        <v>32</v>
      </c>
      <c r="C19" t="inlineStr"/>
    </row>
    <row r="20">
      <c r="A20" t="inlineStr">
        <is>
          <t>Storage TB per node</t>
        </is>
      </c>
      <c r="B20" t="n">
        <v>32</v>
      </c>
      <c r="C20" t="inlineStr"/>
    </row>
    <row r="21">
      <c r="A21" t="inlineStr">
        <is>
          <t>Replication factor</t>
        </is>
      </c>
      <c r="B21" t="n">
        <v>3</v>
      </c>
      <c r="C21" t="inlineStr"/>
    </row>
    <row r="22">
      <c r="A22" s="3" t="inlineStr">
        <is>
          <t>Current Fleet (2026 — Rubin USDF)</t>
        </is>
      </c>
    </row>
    <row r="23">
      <c r="A23" t="inlineStr">
        <is>
          <t>Milano batch nodes</t>
        </is>
      </c>
      <c r="B23" t="n">
        <v>50</v>
      </c>
      <c r="C23" t="inlineStr">
        <is>
          <t>FY24 CPU Planner, Rubin USDF</t>
        </is>
      </c>
    </row>
    <row r="24">
      <c r="A24" t="inlineStr">
        <is>
          <t>Torino batch nodes</t>
        </is>
      </c>
      <c r="B24" t="n">
        <v>10</v>
      </c>
      <c r="C24" t="inlineStr">
        <is>
          <t>Confirmed available to Rubin</t>
        </is>
      </c>
    </row>
    <row r="25">
      <c r="A25" t="inlineStr">
        <is>
          <t>K8s nodes</t>
        </is>
      </c>
      <c r="B25" t="n">
        <v>75</v>
      </c>
      <c r="C25" t="inlineStr">
        <is>
          <t>Initial k8s Capture, Rubin USDF</t>
        </is>
      </c>
    </row>
    <row r="26">
      <c r="A26" t="inlineStr">
        <is>
          <t>Interactive nodes</t>
        </is>
      </c>
      <c r="B26" t="n">
        <v>11</v>
      </c>
      <c r="C26" t="inlineStr">
        <is>
          <t>Initial InteractiveWorkflow Cap</t>
        </is>
      </c>
    </row>
    <row r="27">
      <c r="A27" t="inlineStr">
        <is>
          <t>GPU H200 nodes</t>
        </is>
      </c>
      <c r="B27" t="n">
        <v>2</v>
      </c>
      <c r="C27" t="inlineStr">
        <is>
          <t>Initial GPU Capture, Rubin USDF</t>
        </is>
      </c>
    </row>
    <row r="28">
      <c r="A28" t="inlineStr">
        <is>
          <t>Qserv nodes</t>
        </is>
      </c>
      <c r="B28" t="n">
        <v>92</v>
      </c>
      <c r="C28" t="inlineStr">
        <is>
          <t>From conversation with Igor</t>
        </is>
      </c>
    </row>
    <row r="29">
      <c r="A29" t="inlineStr">
        <is>
          <t>Installed storage (PB)</t>
        </is>
      </c>
      <c r="B29" t="n">
        <v>30</v>
      </c>
      <c r="C29" t="inlineStr">
        <is>
          <t>Initial Storage Capture, Rubin USDF</t>
        </is>
      </c>
    </row>
    <row r="30">
      <c r="A30" t="inlineStr">
        <is>
          <t>Total batch cores</t>
        </is>
      </c>
      <c r="B30" t="n">
        <v>7600</v>
      </c>
      <c r="C30" t="inlineStr">
        <is>
          <t>Milano + Torino</t>
        </is>
      </c>
    </row>
    <row r="31">
      <c r="A31" s="3" t="inlineStr">
        <is>
          <t>Node Costs</t>
        </is>
      </c>
    </row>
    <row r="32">
      <c r="A32" t="inlineStr">
        <is>
          <t>Milano node (USD)</t>
        </is>
      </c>
      <c r="B32" t="n">
        <v>11800</v>
      </c>
      <c r="C32" t="inlineStr"/>
    </row>
    <row r="33">
      <c r="A33" t="inlineStr">
        <is>
          <t>Torino node (USD)</t>
        </is>
      </c>
      <c r="B33" t="n">
        <v>16000</v>
      </c>
      <c r="C33" t="inlineStr">
        <is>
          <t>Estimated</t>
        </is>
      </c>
    </row>
    <row r="34">
      <c r="A34" t="inlineStr">
        <is>
          <t>K8s node (USD)</t>
        </is>
      </c>
      <c r="B34" t="n">
        <v>8000</v>
      </c>
      <c r="C34" t="inlineStr"/>
    </row>
    <row r="35">
      <c r="A35" t="inlineStr">
        <is>
          <t>Qserv node (USD)</t>
        </is>
      </c>
      <c r="B35" t="n">
        <v>20000</v>
      </c>
      <c r="C35" t="inlineStr"/>
    </row>
    <row r="36">
      <c r="A36" t="inlineStr">
        <is>
          <t>GPU H200 node (USD)</t>
        </is>
      </c>
      <c r="B36" t="n">
        <v>250000</v>
      </c>
      <c r="C36" t="inlineStr"/>
    </row>
    <row r="37">
      <c r="A37" s="3" t="inlineStr">
        <is>
          <t>Storage Costs ($/TB)</t>
        </is>
      </c>
    </row>
    <row r="38">
      <c r="A38" t="inlineStr">
        <is>
          <t>Flash (NVMe/Weka)</t>
        </is>
      </c>
      <c r="B38" t="n">
        <v>320</v>
      </c>
      <c r="C38" t="inlineStr"/>
    </row>
    <row r="39">
      <c r="A39" t="inlineStr">
        <is>
          <t>Normal (SATA HDD/Ceph)</t>
        </is>
      </c>
      <c r="B39" t="n">
        <v>56</v>
      </c>
      <c r="C39" t="inlineStr"/>
    </row>
    <row r="40">
      <c r="A40" t="inlineStr">
        <is>
          <t>Latent (Object Store)</t>
        </is>
      </c>
      <c r="B40" t="n">
        <v>36</v>
      </c>
      <c r="C40" t="inlineStr"/>
    </row>
    <row r="41">
      <c r="A41" t="inlineStr">
        <is>
          <t>Tape (LTO)</t>
        </is>
      </c>
      <c r="B41" t="n">
        <v>12.5</v>
      </c>
      <c r="C41" t="inlineStr"/>
    </row>
    <row r="42">
      <c r="A42" s="3" t="inlineStr">
        <is>
          <t>Lifecycle</t>
        </is>
      </c>
    </row>
    <row r="43">
      <c r="A43" t="inlineStr">
        <is>
          <t>Compute lifetime (years)</t>
        </is>
      </c>
      <c r="B43" t="n">
        <v>3</v>
      </c>
      <c r="C43" t="inlineStr"/>
    </row>
    <row r="44">
      <c r="A44" t="inlineStr">
        <is>
          <t>Storage lifetime (years)</t>
        </is>
      </c>
      <c r="B44" t="n">
        <v>5</v>
      </c>
      <c r="C44" t="inlineStr"/>
    </row>
    <row r="45">
      <c r="A45" s="3" t="inlineStr">
        <is>
          <t>Price Decrease Factors (annual)</t>
        </is>
      </c>
    </row>
    <row r="46">
      <c r="A46" t="inlineStr">
        <is>
          <t>CPU</t>
        </is>
      </c>
      <c r="B46" t="n">
        <v>0</v>
      </c>
      <c r="C46" t="inlineStr"/>
    </row>
    <row r="47">
      <c r="A47" t="inlineStr">
        <is>
          <t>Storage</t>
        </is>
      </c>
      <c r="B47" t="n">
        <v>0</v>
      </c>
      <c r="C47" t="inlineStr"/>
    </row>
    <row r="48">
      <c r="A48" t="inlineStr">
        <is>
          <t>Qserv</t>
        </is>
      </c>
      <c r="B48" t="n">
        <v>0</v>
      </c>
      <c r="C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Ops Storage — USDF Parameters</t>
        </is>
      </c>
    </row>
    <row r="2">
      <c r="A2" s="2" t="inlineStr">
        <is>
          <t>Parameter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4">
      <c r="A4" t="inlineStr">
        <is>
          <t>Objects</t>
        </is>
      </c>
      <c r="B4" t="inlineStr">
        <is>
          <t>count</t>
        </is>
      </c>
      <c r="C4" s="5" t="n">
        <v>27500000000</v>
      </c>
      <c r="D4" s="5" t="n">
        <v>32500000000</v>
      </c>
      <c r="E4" s="5" t="n">
        <v>35700000000</v>
      </c>
      <c r="F4" s="5" t="n">
        <v>38200000000</v>
      </c>
      <c r="G4" s="5" t="n">
        <v>40300000000</v>
      </c>
      <c r="H4" s="5" t="n">
        <v>42200000000</v>
      </c>
      <c r="I4" s="5" t="n">
        <v>43800000000</v>
      </c>
      <c r="J4" s="5" t="n">
        <v>45300000000</v>
      </c>
      <c r="K4" s="5" t="n">
        <v>46400000000</v>
      </c>
      <c r="L4" s="5" t="n">
        <v>47400000000</v>
      </c>
    </row>
    <row r="5">
      <c r="A5" t="inlineStr">
        <is>
          <t>Sources</t>
        </is>
      </c>
      <c r="B5" t="inlineStr">
        <is>
          <t>count</t>
        </is>
      </c>
      <c r="C5" s="5" t="n">
        <v>901000000000</v>
      </c>
      <c r="D5" s="5" t="n">
        <v>1800000000000</v>
      </c>
      <c r="E5" s="5" t="n">
        <v>2700000000000</v>
      </c>
      <c r="F5" s="5" t="n">
        <v>3600000000000</v>
      </c>
      <c r="G5" s="5" t="n">
        <v>4510000000000</v>
      </c>
      <c r="H5" s="5" t="n">
        <v>5410000000000</v>
      </c>
      <c r="I5" s="5" t="n">
        <v>6310000000000</v>
      </c>
      <c r="J5" s="5" t="n">
        <v>7210000000000</v>
      </c>
      <c r="K5" s="5" t="n">
        <v>8110000000000</v>
      </c>
      <c r="L5" s="5" t="n">
        <v>9010000000000</v>
      </c>
    </row>
    <row r="6">
      <c r="A6" t="inlineStr">
        <is>
          <t>ForcedSources</t>
        </is>
      </c>
      <c r="B6" t="inlineStr">
        <is>
          <t>count</t>
        </is>
      </c>
      <c r="C6" s="5" t="n">
        <v>2910000000000</v>
      </c>
      <c r="D6" s="5" t="n">
        <v>6870000000000</v>
      </c>
      <c r="E6" s="5" t="n">
        <v>11300000000000</v>
      </c>
      <c r="F6" s="5" t="n">
        <v>16100000000000</v>
      </c>
      <c r="G6" s="5" t="n">
        <v>21300000000000</v>
      </c>
      <c r="H6" s="5" t="n">
        <v>26700000000000</v>
      </c>
      <c r="I6" s="5" t="n">
        <v>32400000000000</v>
      </c>
      <c r="J6" s="5" t="n">
        <v>38300000000000</v>
      </c>
      <c r="K6" s="5" t="n">
        <v>44100000000000</v>
      </c>
      <c r="L6" s="5" t="n">
        <v>50100000000000</v>
      </c>
    </row>
    <row r="8">
      <c r="A8" t="inlineStr">
        <is>
          <t>Science users</t>
        </is>
      </c>
      <c r="B8" t="inlineStr">
        <is>
          <t>users</t>
        </is>
      </c>
      <c r="C8" s="5" t="n">
        <v>5000</v>
      </c>
      <c r="D8" s="5" t="n">
        <v>6000</v>
      </c>
      <c r="E8" s="5" t="n">
        <v>7000</v>
      </c>
      <c r="F8" s="5" t="n">
        <v>7500</v>
      </c>
      <c r="G8" s="5" t="n">
        <v>7500</v>
      </c>
      <c r="H8" s="5" t="n">
        <v>7500</v>
      </c>
      <c r="I8" s="5" t="n">
        <v>7500</v>
      </c>
      <c r="J8" s="5" t="n">
        <v>7500</v>
      </c>
      <c r="K8" s="5" t="n">
        <v>7500</v>
      </c>
      <c r="L8" s="5" t="n">
        <v>7500</v>
      </c>
    </row>
    <row r="9">
      <c r="A9" t="inlineStr">
        <is>
          <t>Storage per science user</t>
        </is>
      </c>
      <c r="B9" t="inlineStr">
        <is>
          <t>TB</t>
        </is>
      </c>
      <c r="C9" t="n">
        <v>0.4</v>
      </c>
      <c r="D9" t="n">
        <v>0.5</v>
      </c>
      <c r="E9" t="n">
        <v>0.6</v>
      </c>
      <c r="F9" t="n">
        <v>0.7</v>
      </c>
      <c r="G9" t="n">
        <v>0.8</v>
      </c>
      <c r="H9" t="n">
        <v>0.9</v>
      </c>
      <c r="I9" t="n">
        <v>1</v>
      </c>
      <c r="J9" t="n">
        <v>1.1</v>
      </c>
      <c r="K9" t="n">
        <v>1.2</v>
      </c>
      <c r="L9" t="n">
        <v>1.3</v>
      </c>
    </row>
    <row r="11">
      <c r="A11" t="inlineStr">
        <is>
          <t>LSSTCam image size</t>
        </is>
      </c>
      <c r="B11" t="inlineStr">
        <is>
          <t>TB</t>
        </is>
      </c>
      <c r="C11" t="n">
        <v>0.00819222</v>
      </c>
      <c r="D11" t="n">
        <v>0.00819222</v>
      </c>
      <c r="E11" t="n">
        <v>0.00819222</v>
      </c>
      <c r="F11" t="n">
        <v>0.00819222</v>
      </c>
      <c r="G11" t="n">
        <v>0.00819222</v>
      </c>
      <c r="H11" t="n">
        <v>0.00819222</v>
      </c>
      <c r="I11" t="n">
        <v>0.00819222</v>
      </c>
      <c r="J11" t="n">
        <v>0.00819222</v>
      </c>
      <c r="K11" t="n">
        <v>0.00819222</v>
      </c>
      <c r="L11" t="n">
        <v>0.00819222</v>
      </c>
    </row>
    <row r="12">
      <c r="A12" t="inlineStr">
        <is>
          <t>Raw image compression (science)</t>
        </is>
      </c>
      <c r="B12" t="inlineStr">
        <is>
          <t>factor</t>
        </is>
      </c>
      <c r="C12" t="n">
        <v>0.464</v>
      </c>
      <c r="D12" t="n">
        <v>0.464</v>
      </c>
      <c r="E12" t="n">
        <v>0.464</v>
      </c>
      <c r="F12" t="n">
        <v>0.464</v>
      </c>
      <c r="G12" t="n">
        <v>0.464</v>
      </c>
      <c r="H12" t="n">
        <v>0.464</v>
      </c>
      <c r="I12" t="n">
        <v>0.464</v>
      </c>
      <c r="J12" t="n">
        <v>0.464</v>
      </c>
      <c r="K12" t="n">
        <v>0.464</v>
      </c>
      <c r="L12" t="n">
        <v>0.464</v>
      </c>
    </row>
    <row r="13">
      <c r="A13" t="inlineStr">
        <is>
          <t>Lossy image compression</t>
        </is>
      </c>
      <c r="B13" t="inlineStr">
        <is>
          <t>factor</t>
        </is>
      </c>
      <c r="C13" t="n">
        <v>0.27</v>
      </c>
      <c r="D13" t="n">
        <v>0.27</v>
      </c>
      <c r="E13" t="n">
        <v>0.27</v>
      </c>
      <c r="F13" t="n">
        <v>0.27</v>
      </c>
      <c r="G13" t="n">
        <v>0.27</v>
      </c>
      <c r="H13" t="n">
        <v>0.27</v>
      </c>
      <c r="I13" t="n">
        <v>0.27</v>
      </c>
      <c r="J13" t="n">
        <v>0.27</v>
      </c>
      <c r="K13" t="n">
        <v>0.27</v>
      </c>
      <c r="L13" t="n">
        <v>0.27</v>
      </c>
    </row>
    <row r="14">
      <c r="A14" t="inlineStr">
        <is>
          <t>Calibration image compression</t>
        </is>
      </c>
      <c r="B14" t="inlineStr">
        <is>
          <t>factor</t>
        </is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</row>
    <row r="15">
      <c r="A15" t="inlineStr">
        <is>
          <t>Observing nights per year</t>
        </is>
      </c>
      <c r="B15" t="inlineStr">
        <is>
          <t>nights</t>
        </is>
      </c>
      <c r="C15" s="5" t="n">
        <v>300</v>
      </c>
      <c r="D15" s="5" t="n">
        <v>300</v>
      </c>
      <c r="E15" s="5" t="n">
        <v>300</v>
      </c>
      <c r="F15" s="5" t="n">
        <v>300</v>
      </c>
      <c r="G15" s="5" t="n">
        <v>300</v>
      </c>
      <c r="H15" s="5" t="n">
        <v>300</v>
      </c>
      <c r="I15" s="5" t="n">
        <v>300</v>
      </c>
      <c r="J15" s="5" t="n">
        <v>300</v>
      </c>
      <c r="K15" s="5" t="n">
        <v>300</v>
      </c>
      <c r="L15" s="5" t="n">
        <v>300</v>
      </c>
    </row>
    <row r="16">
      <c r="A16" t="inlineStr">
        <is>
          <t>Visits per night</t>
        </is>
      </c>
      <c r="B16" t="inlineStr">
        <is>
          <t>visits</t>
        </is>
      </c>
      <c r="C16" s="5" t="n">
        <v>700</v>
      </c>
      <c r="D16" s="5" t="n">
        <v>700</v>
      </c>
      <c r="E16" s="5" t="n">
        <v>700</v>
      </c>
      <c r="F16" s="5" t="n">
        <v>700</v>
      </c>
      <c r="G16" s="5" t="n">
        <v>700</v>
      </c>
      <c r="H16" s="5" t="n">
        <v>700</v>
      </c>
      <c r="I16" s="5" t="n">
        <v>700</v>
      </c>
      <c r="J16" s="5" t="n">
        <v>700</v>
      </c>
      <c r="K16" s="5" t="n">
        <v>700</v>
      </c>
      <c r="L16" s="5" t="n">
        <v>700</v>
      </c>
    </row>
    <row r="17">
      <c r="A17" t="inlineStr">
        <is>
          <t>Images per visit</t>
        </is>
      </c>
      <c r="B17" t="inlineStr">
        <is>
          <t>images</t>
        </is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</row>
    <row r="18">
      <c r="A18" t="inlineStr">
        <is>
          <t>Calibration images per day</t>
        </is>
      </c>
      <c r="B18" t="inlineStr">
        <is>
          <t>images</t>
        </is>
      </c>
      <c r="C18" s="5" t="n">
        <v>450</v>
      </c>
      <c r="D18" s="5" t="n">
        <v>450</v>
      </c>
      <c r="E18" s="5" t="n">
        <v>450</v>
      </c>
      <c r="F18" s="5" t="n">
        <v>450</v>
      </c>
      <c r="G18" s="5" t="n">
        <v>450</v>
      </c>
      <c r="H18" s="5" t="n">
        <v>450</v>
      </c>
      <c r="I18" s="5" t="n">
        <v>450</v>
      </c>
      <c r="J18" s="5" t="n">
        <v>450</v>
      </c>
      <c r="K18" s="5" t="n">
        <v>450</v>
      </c>
      <c r="L18" s="5" t="n">
        <v>450</v>
      </c>
    </row>
    <row r="19">
      <c r="A19" t="inlineStr">
        <is>
          <t>LSSTCam Science images (per year)</t>
        </is>
      </c>
      <c r="B19" t="inlineStr">
        <is>
          <t>images</t>
        </is>
      </c>
      <c r="C19" s="5">
        <f>C15*C16*C17</f>
        <v/>
      </c>
      <c r="D19" s="5">
        <f>D15*D16*D17</f>
        <v/>
      </c>
      <c r="E19" s="5">
        <f>E15*E16*E17</f>
        <v/>
      </c>
      <c r="F19" s="5">
        <f>F15*F16*F17</f>
        <v/>
      </c>
      <c r="G19" s="5">
        <f>G15*G16*G17</f>
        <v/>
      </c>
      <c r="H19" s="5">
        <f>H15*H16*H17</f>
        <v/>
      </c>
      <c r="I19" s="5">
        <f>I15*I16*I17</f>
        <v/>
      </c>
      <c r="J19" s="5">
        <f>J15*J16*J17</f>
        <v/>
      </c>
      <c r="K19" s="5">
        <f>K15*K16*K17</f>
        <v/>
      </c>
      <c r="L19" s="5">
        <f>L15*L16*L17</f>
        <v/>
      </c>
    </row>
    <row r="20">
      <c r="A20" t="inlineStr">
        <is>
          <t>LSSTCam Engineering images (1% of science)</t>
        </is>
      </c>
      <c r="B20" t="inlineStr">
        <is>
          <t>images</t>
        </is>
      </c>
      <c r="C20" s="5">
        <f>0.01*C19</f>
        <v/>
      </c>
      <c r="D20" s="5">
        <f>0.01*D19</f>
        <v/>
      </c>
      <c r="E20" s="5">
        <f>0.01*E19</f>
        <v/>
      </c>
      <c r="F20" s="5">
        <f>0.01*F19</f>
        <v/>
      </c>
      <c r="G20" s="5">
        <f>0.01*G19</f>
        <v/>
      </c>
      <c r="H20" s="5">
        <f>0.01*H19</f>
        <v/>
      </c>
      <c r="I20" s="5">
        <f>0.01*I19</f>
        <v/>
      </c>
      <c r="J20" s="5">
        <f>0.01*J19</f>
        <v/>
      </c>
      <c r="K20" s="5">
        <f>0.01*K19</f>
        <v/>
      </c>
      <c r="L20" s="5">
        <f>0.01*L19</f>
        <v/>
      </c>
    </row>
    <row r="21">
      <c r="A21" t="inlineStr">
        <is>
          <t>LSSTCam Calibration images (per year)</t>
        </is>
      </c>
      <c r="B21" t="inlineStr">
        <is>
          <t>images</t>
        </is>
      </c>
      <c r="C21" s="5">
        <f>C15*C18</f>
        <v/>
      </c>
      <c r="D21" s="5">
        <f>D15*D18</f>
        <v/>
      </c>
      <c r="E21" s="5">
        <f>E15*E18</f>
        <v/>
      </c>
      <c r="F21" s="5">
        <f>F15*F18</f>
        <v/>
      </c>
      <c r="G21" s="5">
        <f>G15*G18</f>
        <v/>
      </c>
      <c r="H21" s="5">
        <f>H15*H18</f>
        <v/>
      </c>
      <c r="I21" s="5">
        <f>I15*I18</f>
        <v/>
      </c>
      <c r="J21" s="5">
        <f>J15*J18</f>
        <v/>
      </c>
      <c r="K21" s="5">
        <f>K15*K18</f>
        <v/>
      </c>
      <c r="L21" s="5">
        <f>L15*L18</f>
        <v/>
      </c>
    </row>
    <row r="22">
      <c r="A22" t="inlineStr">
        <is>
          <t>Number of coadd data products</t>
        </is>
      </c>
      <c r="B22" t="inlineStr">
        <is>
          <t>count</t>
        </is>
      </c>
      <c r="C22" t="n">
        <v>2</v>
      </c>
      <c r="D22" t="n">
        <v>2</v>
      </c>
      <c r="E22" t="n">
        <v>2</v>
      </c>
      <c r="F22" t="n">
        <v>2</v>
      </c>
      <c r="G22" t="n">
        <v>2</v>
      </c>
      <c r="H22" t="n">
        <v>2</v>
      </c>
      <c r="I22" t="n">
        <v>2</v>
      </c>
      <c r="J22" t="n">
        <v>2</v>
      </c>
      <c r="K22" t="n">
        <v>2</v>
      </c>
      <c r="L22" t="n">
        <v>2</v>
      </c>
    </row>
    <row r="23">
      <c r="A23" t="inlineStr">
        <is>
          <t>Object table row size</t>
        </is>
      </c>
      <c r="B23" t="inlineStr">
        <is>
          <t>bytes</t>
        </is>
      </c>
      <c r="C23" s="5" t="n">
        <v>1896</v>
      </c>
      <c r="D23" s="5" t="n">
        <v>1953</v>
      </c>
      <c r="E23" s="5" t="n">
        <v>2012</v>
      </c>
      <c r="F23" s="5" t="n">
        <v>2073</v>
      </c>
      <c r="G23" s="5" t="n">
        <v>2136</v>
      </c>
      <c r="H23" s="5" t="n">
        <v>2201</v>
      </c>
      <c r="I23" s="5" t="n">
        <v>2268</v>
      </c>
      <c r="J23" s="5" t="n">
        <v>2337</v>
      </c>
      <c r="K23" s="5" t="n">
        <v>2408</v>
      </c>
      <c r="L23" s="5" t="n">
        <v>2481</v>
      </c>
    </row>
    <row r="24">
      <c r="A24" t="inlineStr">
        <is>
          <t>Object_Extra table row size</t>
        </is>
      </c>
      <c r="B24" t="inlineStr">
        <is>
          <t>bytes</t>
        </is>
      </c>
      <c r="C24" s="5" t="n">
        <v>21005</v>
      </c>
      <c r="D24" s="5" t="n">
        <v>21636</v>
      </c>
      <c r="E24" s="5" t="n">
        <v>22286</v>
      </c>
      <c r="F24" s="5" t="n">
        <v>22955</v>
      </c>
      <c r="G24" s="5" t="n">
        <v>23644</v>
      </c>
      <c r="H24" s="5" t="n">
        <v>24354</v>
      </c>
      <c r="I24" s="5" t="n">
        <v>25085</v>
      </c>
      <c r="J24" s="5" t="n">
        <v>25838</v>
      </c>
      <c r="K24" s="5" t="n">
        <v>26614</v>
      </c>
      <c r="L24" s="5" t="n">
        <v>27413</v>
      </c>
    </row>
    <row r="25">
      <c r="A25" t="inlineStr">
        <is>
          <t>Source table row size</t>
        </is>
      </c>
      <c r="B25" t="inlineStr">
        <is>
          <t>bytes</t>
        </is>
      </c>
      <c r="C25" s="5" t="n">
        <v>467</v>
      </c>
      <c r="D25" s="5" t="n">
        <v>482</v>
      </c>
      <c r="E25" s="5" t="n">
        <v>497</v>
      </c>
      <c r="F25" s="5" t="n">
        <v>512</v>
      </c>
      <c r="G25" s="5" t="n">
        <v>528</v>
      </c>
      <c r="H25" s="5" t="n">
        <v>544</v>
      </c>
      <c r="I25" s="5" t="n">
        <v>561</v>
      </c>
      <c r="J25" s="5" t="n">
        <v>578</v>
      </c>
      <c r="K25" s="5" t="n">
        <v>596</v>
      </c>
      <c r="L25" s="5" t="n">
        <v>614</v>
      </c>
    </row>
    <row r="26">
      <c r="A26" t="inlineStr">
        <is>
          <t>ForcedSource table row size</t>
        </is>
      </c>
      <c r="B26" t="inlineStr">
        <is>
          <t>bytes</t>
        </is>
      </c>
      <c r="C26" s="5" t="n">
        <v>41</v>
      </c>
      <c r="D26" s="5" t="n">
        <v>41</v>
      </c>
      <c r="E26" s="5" t="n">
        <v>41</v>
      </c>
      <c r="F26" s="5" t="n">
        <v>41</v>
      </c>
      <c r="G26" s="5" t="n">
        <v>41</v>
      </c>
      <c r="H26" s="5" t="n">
        <v>41</v>
      </c>
      <c r="I26" s="5" t="n">
        <v>41</v>
      </c>
      <c r="J26" s="5" t="n">
        <v>41</v>
      </c>
      <c r="K26" s="5" t="n">
        <v>41</v>
      </c>
      <c r="L26" s="5" t="n">
        <v>41</v>
      </c>
    </row>
    <row r="27">
      <c r="A27" t="inlineStr">
        <is>
          <t>Qserv replication factor</t>
        </is>
      </c>
      <c r="B27" t="inlineStr">
        <is>
          <t>factor</t>
        </is>
      </c>
      <c r="C27" t="n">
        <v>3</v>
      </c>
      <c r="D27" t="n">
        <v>3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</row>
    <row r="29">
      <c r="A29" s="3" t="inlineStr">
        <is>
          <t>Dataset Sizing (annual production)</t>
        </is>
      </c>
    </row>
    <row r="30">
      <c r="A30" s="2" t="inlineStr">
        <is>
          <t>Dataset</t>
        </is>
      </c>
      <c r="B30" s="2" t="inlineStr">
        <is>
          <t>Unit</t>
        </is>
      </c>
      <c r="C30" s="2" t="inlineStr">
        <is>
          <t>LOY1</t>
        </is>
      </c>
      <c r="D30" s="2" t="inlineStr">
        <is>
          <t>LOY2</t>
        </is>
      </c>
      <c r="E30" s="2" t="inlineStr">
        <is>
          <t>LOY3</t>
        </is>
      </c>
      <c r="F30" s="2" t="inlineStr">
        <is>
          <t>LOY4</t>
        </is>
      </c>
      <c r="G30" s="2" t="inlineStr">
        <is>
          <t>LOY5</t>
        </is>
      </c>
      <c r="H30" s="2" t="inlineStr">
        <is>
          <t>LOY6</t>
        </is>
      </c>
      <c r="I30" s="2" t="inlineStr">
        <is>
          <t>LOY7</t>
        </is>
      </c>
      <c r="J30" s="2" t="inlineStr">
        <is>
          <t>LOY8</t>
        </is>
      </c>
      <c r="K30" s="2" t="inlineStr">
        <is>
          <t>LOY9</t>
        </is>
      </c>
      <c r="L30" s="2" t="inlineStr">
        <is>
          <t>LOY10</t>
        </is>
      </c>
    </row>
    <row r="31">
      <c r="A31" t="inlineStr">
        <is>
          <t>APDB</t>
        </is>
      </c>
      <c r="B31" t="inlineStr">
        <is>
          <t>TB</t>
        </is>
      </c>
      <c r="C31" s="6">
        <f>4.5/57000*C16*C15</f>
        <v/>
      </c>
      <c r="D31" s="6">
        <f>4.5/57000*D16*D15</f>
        <v/>
      </c>
      <c r="E31" s="6">
        <f>4.5/57000*E16*E15</f>
        <v/>
      </c>
      <c r="F31" s="6">
        <f>4.5/57000*F16*F15</f>
        <v/>
      </c>
      <c r="G31" s="6">
        <f>4.5/57000*G16*G15</f>
        <v/>
      </c>
      <c r="H31" s="6">
        <f>4.5/57000*H16*H15</f>
        <v/>
      </c>
      <c r="I31" s="6">
        <f>4.5/57000*I16*I15</f>
        <v/>
      </c>
      <c r="J31" s="6">
        <f>4.5/57000*J16*J15</f>
        <v/>
      </c>
      <c r="K31" s="6">
        <f>4.5/57000*K16*K15</f>
        <v/>
      </c>
      <c r="L31" s="6">
        <f>4.5/57000*L16*L15</f>
        <v/>
      </c>
    </row>
    <row r="32">
      <c r="A32" t="inlineStr">
        <is>
          <t>Prompt Tier 1 (cumulative)</t>
        </is>
      </c>
      <c r="B32" t="inlineStr">
        <is>
          <t>TB</t>
        </is>
      </c>
      <c r="C32" s="6" t="n">
        <v>1680</v>
      </c>
      <c r="D32" s="6" t="n">
        <v>3360</v>
      </c>
      <c r="E32" s="6" t="n">
        <v>5040</v>
      </c>
      <c r="F32" s="6" t="n">
        <v>5040</v>
      </c>
      <c r="G32" s="6" t="n">
        <v>5040</v>
      </c>
      <c r="H32" s="6" t="n">
        <v>5040</v>
      </c>
      <c r="I32" s="6" t="n">
        <v>5040</v>
      </c>
      <c r="J32" s="6" t="n">
        <v>5040</v>
      </c>
      <c r="K32" s="6" t="n">
        <v>5040</v>
      </c>
      <c r="L32" s="6" t="n">
        <v>5040</v>
      </c>
    </row>
    <row r="33">
      <c r="A33" t="inlineStr">
        <is>
          <t>Prompt Tier 2 (30-day rolling)</t>
        </is>
      </c>
      <c r="B33" t="inlineStr">
        <is>
          <t>TB</t>
        </is>
      </c>
      <c r="C33" s="6" t="n">
        <v>180</v>
      </c>
      <c r="D33" s="6" t="n">
        <v>180</v>
      </c>
      <c r="E33" s="6" t="n">
        <v>180</v>
      </c>
      <c r="F33" s="6" t="n">
        <v>180</v>
      </c>
      <c r="G33" s="6" t="n">
        <v>180</v>
      </c>
      <c r="H33" s="6" t="n">
        <v>180</v>
      </c>
      <c r="I33" s="6" t="n">
        <v>180</v>
      </c>
      <c r="J33" s="6" t="n">
        <v>180</v>
      </c>
      <c r="K33" s="6" t="n">
        <v>180</v>
      </c>
      <c r="L33" s="6" t="n">
        <v>180</v>
      </c>
    </row>
    <row r="35">
      <c r="A35" t="inlineStr">
        <is>
          <t>LSSTCam Raw Images (per year)</t>
        </is>
      </c>
      <c r="B35" t="inlineStr">
        <is>
          <t>TB</t>
        </is>
      </c>
      <c r="C35" s="6">
        <f>(C19+C20)*C11*C12+C21*C11*C14</f>
        <v/>
      </c>
      <c r="D35" s="6">
        <f>(D19+D20)*D11*D12+D21*D11*D14</f>
        <v/>
      </c>
      <c r="E35" s="6">
        <f>(E19+E20)*E11*E12+E21*E11*E14</f>
        <v/>
      </c>
      <c r="F35" s="6">
        <f>(F19+F20)*F11*F12+F21*F11*F14</f>
        <v/>
      </c>
      <c r="G35" s="6">
        <f>(G19+G20)*G11*G12+G21*G11*G14</f>
        <v/>
      </c>
      <c r="H35" s="6">
        <f>(H19+H20)*H11*H12+H21*H11*H14</f>
        <v/>
      </c>
      <c r="I35" s="6">
        <f>(I19+I20)*I11*I12+I21*I11*I14</f>
        <v/>
      </c>
      <c r="J35" s="6">
        <f>(J19+J20)*J11*J12+J21*J11*J14</f>
        <v/>
      </c>
      <c r="K35" s="6">
        <f>(K19+K20)*K11*K12+K21*K11*K14</f>
        <v/>
      </c>
      <c r="L35" s="6">
        <f>(L19+L20)*L11*L12+L21*L11*L14</f>
        <v/>
      </c>
    </row>
    <row r="36">
      <c r="A36" t="inlineStr">
        <is>
          <t>LSSTCam Output Coadd Images (per DR)</t>
        </is>
      </c>
      <c r="B36" t="inlineStr">
        <is>
          <t>TB</t>
        </is>
      </c>
      <c r="C36" s="6" t="n">
        <v>2700</v>
      </c>
      <c r="D36" s="6" t="n">
        <v>2700</v>
      </c>
      <c r="E36" s="6" t="n">
        <v>2700</v>
      </c>
      <c r="F36" s="6" t="n">
        <v>2700</v>
      </c>
      <c r="G36" s="6" t="n">
        <v>2700</v>
      </c>
      <c r="H36" s="6" t="n">
        <v>2700</v>
      </c>
      <c r="I36" s="6" t="n">
        <v>2700</v>
      </c>
      <c r="J36" s="6" t="n">
        <v>2700</v>
      </c>
      <c r="K36" s="6" t="n">
        <v>2700</v>
      </c>
      <c r="L36" s="6" t="n">
        <v>2700</v>
      </c>
    </row>
    <row r="38">
      <c r="A38" t="inlineStr">
        <is>
          <t>LSSTCam Output Images (per year)</t>
        </is>
      </c>
      <c r="B38" t="inlineStr">
        <is>
          <t>TB</t>
        </is>
      </c>
      <c r="C38" s="6">
        <f>0.01906*C19/C17</f>
        <v/>
      </c>
      <c r="D38" s="6">
        <f>0.01906*D19/D17</f>
        <v/>
      </c>
      <c r="E38" s="6">
        <f>0.01906*E19/E17</f>
        <v/>
      </c>
      <c r="F38" s="6">
        <f>0.01906*F19/F17</f>
        <v/>
      </c>
      <c r="G38" s="6">
        <f>0.01906*G19/G17</f>
        <v/>
      </c>
      <c r="H38" s="6">
        <f>0.01906*H19/H17</f>
        <v/>
      </c>
      <c r="I38" s="6">
        <f>0.01906*I19/I17</f>
        <v/>
      </c>
      <c r="J38" s="6">
        <f>0.01906*J19/J17</f>
        <v/>
      </c>
      <c r="K38" s="6">
        <f>0.01906*K19/K17</f>
        <v/>
      </c>
      <c r="L38" s="6">
        <f>0.01906*L19/L17</f>
        <v/>
      </c>
    </row>
    <row r="39">
      <c r="A39" t="inlineStr">
        <is>
          <t>LSSTCam Output Parquet (per year)</t>
        </is>
      </c>
      <c r="B39" t="inlineStr">
        <is>
          <t>TB</t>
        </is>
      </c>
      <c r="C39" s="6">
        <f>0.00618*C19/C17</f>
        <v/>
      </c>
      <c r="D39" s="6">
        <f>0.00618*D19/D17</f>
        <v/>
      </c>
      <c r="E39" s="6">
        <f>0.00618*E19/E17</f>
        <v/>
      </c>
      <c r="F39" s="6">
        <f>0.00618*F19/F17</f>
        <v/>
      </c>
      <c r="G39" s="6">
        <f>0.00618*G19/G17</f>
        <v/>
      </c>
      <c r="H39" s="6">
        <f>0.00618*H19/H17</f>
        <v/>
      </c>
      <c r="I39" s="6">
        <f>0.00618*I19/I17</f>
        <v/>
      </c>
      <c r="J39" s="6">
        <f>0.00618*J19/J17</f>
        <v/>
      </c>
      <c r="K39" s="6">
        <f>0.00618*K19/K17</f>
        <v/>
      </c>
      <c r="L39" s="6">
        <f>0.00618*L19/L17</f>
        <v/>
      </c>
    </row>
    <row r="40">
      <c r="A40" t="inlineStr">
        <is>
          <t>Sims output</t>
        </is>
      </c>
      <c r="B40" t="inlineStr">
        <is>
          <t>TB</t>
        </is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5</v>
      </c>
      <c r="H40" s="6" t="n">
        <v>5</v>
      </c>
      <c r="I40" s="6" t="n">
        <v>5</v>
      </c>
      <c r="J40" s="6" t="n">
        <v>5</v>
      </c>
      <c r="K40" s="6" t="n">
        <v>5</v>
      </c>
      <c r="L40" s="6" t="n">
        <v>5</v>
      </c>
    </row>
    <row r="41">
      <c r="A41" t="inlineStr">
        <is>
          <t>Scratch (10% of output images)</t>
        </is>
      </c>
      <c r="B41" t="inlineStr">
        <is>
          <t>TB</t>
        </is>
      </c>
      <c r="C41" s="6">
        <f>0.1*C38</f>
        <v/>
      </c>
      <c r="D41" s="6">
        <f>0.1*D38</f>
        <v/>
      </c>
      <c r="E41" s="6">
        <f>0.1*E38</f>
        <v/>
      </c>
      <c r="F41" s="6">
        <f>0.1*F38</f>
        <v/>
      </c>
      <c r="G41" s="6">
        <f>0.1*G38</f>
        <v/>
      </c>
      <c r="H41" s="6">
        <f>0.1*H38</f>
        <v/>
      </c>
      <c r="I41" s="6">
        <f>0.1*I38</f>
        <v/>
      </c>
      <c r="J41" s="6">
        <f>0.1*J38</f>
        <v/>
      </c>
      <c r="K41" s="6">
        <f>0.1*K38</f>
        <v/>
      </c>
      <c r="L41" s="6">
        <f>0.1*L38</f>
        <v/>
      </c>
    </row>
    <row r="42">
      <c r="A42" t="inlineStr">
        <is>
          <t>Qserv Czar/Object</t>
        </is>
      </c>
      <c r="B42" t="inlineStr">
        <is>
          <t>TB</t>
        </is>
      </c>
      <c r="C42" s="6">
        <f>C4*C23*C27/1000000000000</f>
        <v/>
      </c>
      <c r="D42" s="6">
        <f>D4*D23*D27/1000000000000</f>
        <v/>
      </c>
      <c r="E42" s="6">
        <f>E4*E23*E27/1000000000000</f>
        <v/>
      </c>
      <c r="F42" s="6">
        <f>F4*F23*F27/1000000000000</f>
        <v/>
      </c>
      <c r="G42" s="6">
        <f>G4*G23*G27/1000000000000</f>
        <v/>
      </c>
      <c r="H42" s="6">
        <f>H4*H23*H27/1000000000000</f>
        <v/>
      </c>
      <c r="I42" s="6">
        <f>I4*I23*I27/1000000000000</f>
        <v/>
      </c>
      <c r="J42" s="6">
        <f>J4*J23*J27/1000000000000</f>
        <v/>
      </c>
      <c r="K42" s="6">
        <f>K4*K23*K27/1000000000000</f>
        <v/>
      </c>
      <c r="L42" s="6">
        <f>L4*L23*L27/1000000000000</f>
        <v/>
      </c>
    </row>
    <row r="43">
      <c r="A43" t="inlineStr">
        <is>
          <t>Qserv Database</t>
        </is>
      </c>
      <c r="B43" t="inlineStr">
        <is>
          <t>TB</t>
        </is>
      </c>
      <c r="C43" s="6">
        <f>(C4*(C23+C24)+C5*C25+C6*C26)*C27/1000000000000</f>
        <v/>
      </c>
      <c r="D43" s="6">
        <f>(D4*(D23+D24)+D5*D25+D6*D26)*D27/1000000000000</f>
        <v/>
      </c>
      <c r="E43" s="6">
        <f>(E4*(E23+E24)+E5*E25+E6*E26)*E27/1000000000000</f>
        <v/>
      </c>
      <c r="F43" s="6">
        <f>(F4*(F23+F24)+F5*F25+F6*F26)*F27/1000000000000</f>
        <v/>
      </c>
      <c r="G43" s="6">
        <f>(G4*(G23+G24)+G5*G25+G6*G26)*G27/1000000000000</f>
        <v/>
      </c>
      <c r="H43" s="6">
        <f>(H4*(H23+H24)+H5*H25+H6*H26)*H27/1000000000000</f>
        <v/>
      </c>
      <c r="I43" s="6">
        <f>(I4*(I23+I24)+I5*I25+I6*I26)*I27/1000000000000</f>
        <v/>
      </c>
      <c r="J43" s="6">
        <f>(J4*(J23+J24)+J5*J25+J6*J26)*J27/1000000000000</f>
        <v/>
      </c>
      <c r="K43" s="6">
        <f>(K4*(K23+K24)+K5*K25+K6*K26)*K27/1000000000000</f>
        <v/>
      </c>
      <c r="L43" s="6">
        <f>(L4*(L23+L24)+L5*L25+L6*L26)*L27/1000000000000</f>
        <v/>
      </c>
    </row>
    <row r="44">
      <c r="A44" t="inlineStr">
        <is>
          <t>Science User Home</t>
        </is>
      </c>
      <c r="B44" t="inlineStr">
        <is>
          <t>TB</t>
        </is>
      </c>
      <c r="C44" s="6">
        <f>C8*C9</f>
        <v/>
      </c>
      <c r="D44" s="6">
        <f>D8*D9</f>
        <v/>
      </c>
      <c r="E44" s="6">
        <f>E8*E9</f>
        <v/>
      </c>
      <c r="F44" s="6">
        <f>F8*F9</f>
        <v/>
      </c>
      <c r="G44" s="6">
        <f>G8*G9</f>
        <v/>
      </c>
      <c r="H44" s="6">
        <f>H8*H9</f>
        <v/>
      </c>
      <c r="I44" s="6">
        <f>I8*I9</f>
        <v/>
      </c>
      <c r="J44" s="6">
        <f>J8*J9</f>
        <v/>
      </c>
      <c r="K44" s="6">
        <f>K8*K9</f>
        <v/>
      </c>
      <c r="L44" s="6">
        <f>L8*L9</f>
        <v/>
      </c>
    </row>
    <row r="45">
      <c r="A45" t="inlineStr">
        <is>
          <t>Other/Misc (20%)</t>
        </is>
      </c>
      <c r="B45" t="inlineStr">
        <is>
          <t>TB</t>
        </is>
      </c>
      <c r="C45" s="6">
        <f>0.2*SUM(C31:C44)</f>
        <v/>
      </c>
      <c r="D45" s="6">
        <f>0.2*SUM(D31:D44)</f>
        <v/>
      </c>
      <c r="E45" s="6">
        <f>0.2*SUM(E31:E44)</f>
        <v/>
      </c>
      <c r="F45" s="6">
        <f>0.2*SUM(F31:F44)</f>
        <v/>
      </c>
      <c r="G45" s="6">
        <f>0.2*SUM(G31:G44)</f>
        <v/>
      </c>
      <c r="H45" s="6">
        <f>0.2*SUM(H31:H44)</f>
        <v/>
      </c>
      <c r="I45" s="6">
        <f>0.2*SUM(I31:I44)</f>
        <v/>
      </c>
      <c r="J45" s="6">
        <f>0.2*SUM(J31:J44)</f>
        <v/>
      </c>
      <c r="K45" s="6">
        <f>0.2*SUM(K31:K44)</f>
        <v/>
      </c>
      <c r="L45" s="6">
        <f>0.2*SUM(L31:L44)</f>
        <v/>
      </c>
    </row>
    <row r="47">
      <c r="A47" s="3" t="inlineStr">
        <is>
          <t>USDF Storage On-Floor (by tier)</t>
        </is>
      </c>
    </row>
    <row r="48">
      <c r="A48" s="2" t="inlineStr">
        <is>
          <t>Storage Tier</t>
        </is>
      </c>
      <c r="B48" s="2" t="inlineStr">
        <is>
          <t>Unit</t>
        </is>
      </c>
      <c r="C48" s="2" t="inlineStr">
        <is>
          <t>LOY1</t>
        </is>
      </c>
      <c r="D48" s="2" t="inlineStr">
        <is>
          <t>LOY2</t>
        </is>
      </c>
      <c r="E48" s="2" t="inlineStr">
        <is>
          <t>LOY3</t>
        </is>
      </c>
      <c r="F48" s="2" t="inlineStr">
        <is>
          <t>LOY4</t>
        </is>
      </c>
      <c r="G48" s="2" t="inlineStr">
        <is>
          <t>LOY5</t>
        </is>
      </c>
      <c r="H48" s="2" t="inlineStr">
        <is>
          <t>LOY6</t>
        </is>
      </c>
      <c r="I48" s="2" t="inlineStr">
        <is>
          <t>LOY7</t>
        </is>
      </c>
      <c r="J48" s="2" t="inlineStr">
        <is>
          <t>LOY8</t>
        </is>
      </c>
      <c r="K48" s="2" t="inlineStr">
        <is>
          <t>LOY9</t>
        </is>
      </c>
      <c r="L48" s="2" t="inlineStr">
        <is>
          <t>LOY10</t>
        </is>
      </c>
    </row>
    <row r="49">
      <c r="A49" t="inlineStr">
        <is>
          <t>APDB (fast)</t>
        </is>
      </c>
      <c r="B49" t="inlineStr">
        <is>
          <t>TB</t>
        </is>
      </c>
      <c r="C49" s="6">
        <f>C31</f>
        <v/>
      </c>
      <c r="D49" s="6">
        <f>D31</f>
        <v/>
      </c>
      <c r="E49" s="6">
        <f>E31</f>
        <v/>
      </c>
      <c r="F49" s="6">
        <f>F31</f>
        <v/>
      </c>
      <c r="G49" s="6">
        <f>G31</f>
        <v/>
      </c>
      <c r="H49" s="6">
        <f>H31</f>
        <v/>
      </c>
      <c r="I49" s="6">
        <f>I31</f>
        <v/>
      </c>
      <c r="J49" s="6">
        <f>J31</f>
        <v/>
      </c>
      <c r="K49" s="6">
        <f>K31</f>
        <v/>
      </c>
      <c r="L49" s="6">
        <f>L31</f>
        <v/>
      </c>
    </row>
    <row r="50">
      <c r="A50" t="inlineStr">
        <is>
          <t>Qserv Czar (fast, 3yr window)</t>
        </is>
      </c>
      <c r="B50" t="inlineStr">
        <is>
          <t>TB</t>
        </is>
      </c>
      <c r="C50" s="6">
        <f>C42</f>
        <v/>
      </c>
      <c r="D50" s="6">
        <f>C42+D42</f>
        <v/>
      </c>
      <c r="E50" s="6">
        <f>C42+D42+E42</f>
        <v/>
      </c>
      <c r="F50" s="6">
        <f>D42+E42+F42</f>
        <v/>
      </c>
      <c r="G50" s="6">
        <f>E42+F42+G42</f>
        <v/>
      </c>
      <c r="H50" s="6">
        <f>F42+G42+H42</f>
        <v/>
      </c>
      <c r="I50" s="6">
        <f>G42+H42+I42</f>
        <v/>
      </c>
      <c r="J50" s="6">
        <f>H42+I42+J42</f>
        <v/>
      </c>
      <c r="K50" s="6">
        <f>I42+J42+K42</f>
        <v/>
      </c>
      <c r="L50" s="6">
        <f>J42+K42+L42</f>
        <v/>
      </c>
    </row>
    <row r="51">
      <c r="A51" t="inlineStr">
        <is>
          <t>Total Fast (NVMe)</t>
        </is>
      </c>
      <c r="B51" t="inlineStr">
        <is>
          <t>TB</t>
        </is>
      </c>
      <c r="C51" s="6">
        <f>SUM(C49:C50)+C33</f>
        <v/>
      </c>
      <c r="D51" s="6">
        <f>SUM(D49:D50)+D33</f>
        <v/>
      </c>
      <c r="E51" s="6">
        <f>SUM(E49:E50)+E33</f>
        <v/>
      </c>
      <c r="F51" s="6">
        <f>SUM(F49:F50)+F33</f>
        <v/>
      </c>
      <c r="G51" s="6">
        <f>SUM(G49:G50)+G33</f>
        <v/>
      </c>
      <c r="H51" s="6">
        <f>SUM(H49:H50)+H33</f>
        <v/>
      </c>
      <c r="I51" s="6">
        <f>SUM(I49:I50)+I33</f>
        <v/>
      </c>
      <c r="J51" s="6">
        <f>SUM(J49:J50)+J33</f>
        <v/>
      </c>
      <c r="K51" s="6">
        <f>SUM(K49:K50)+K33</f>
        <v/>
      </c>
      <c r="L51" s="6">
        <f>SUM(L49:L50)+L33</f>
        <v/>
      </c>
    </row>
    <row r="53">
      <c r="A53" t="inlineStr">
        <is>
          <t>Total Normal (HDD)</t>
        </is>
      </c>
      <c r="B53" t="inlineStr">
        <is>
          <t>TB</t>
        </is>
      </c>
      <c r="C53" s="6">
        <f>SUM(C38:C45)</f>
        <v/>
      </c>
      <c r="D53" s="6">
        <f>SUM(D38:D45)</f>
        <v/>
      </c>
      <c r="E53" s="6">
        <f>SUM(E38:E45)</f>
        <v/>
      </c>
      <c r="F53" s="6">
        <f>SUM(F38:F45)</f>
        <v/>
      </c>
      <c r="G53" s="6">
        <f>SUM(G38:G45)</f>
        <v/>
      </c>
      <c r="H53" s="6">
        <f>SUM(H38:H45)</f>
        <v/>
      </c>
      <c r="I53" s="6">
        <f>SUM(I38:I45)</f>
        <v/>
      </c>
      <c r="J53" s="6">
        <f>SUM(J38:J45)</f>
        <v/>
      </c>
      <c r="K53" s="6">
        <f>SUM(K38:K45)</f>
        <v/>
      </c>
      <c r="L53" s="6">
        <f>SUM(L38:L45)</f>
        <v/>
      </c>
    </row>
    <row r="55">
      <c r="A55" t="inlineStr">
        <is>
          <t>Qserv Storage (3yr window)</t>
        </is>
      </c>
      <c r="B55" t="inlineStr">
        <is>
          <t>TB</t>
        </is>
      </c>
      <c r="C55" s="6">
        <f>C43</f>
        <v/>
      </c>
      <c r="D55" s="6">
        <f>C43+D43</f>
        <v/>
      </c>
      <c r="E55" s="6">
        <f>C43+D43+E43</f>
        <v/>
      </c>
      <c r="F55" s="6">
        <f>D43+E43+F43</f>
        <v/>
      </c>
      <c r="G55" s="6">
        <f>E43+F43+G43</f>
        <v/>
      </c>
      <c r="H55" s="6">
        <f>F43+G43+H43</f>
        <v/>
      </c>
      <c r="I55" s="6">
        <f>G43+H43+I43</f>
        <v/>
      </c>
      <c r="J55" s="6">
        <f>H43+I43+J43</f>
        <v/>
      </c>
      <c r="K55" s="6">
        <f>I43+J43+K43</f>
        <v/>
      </c>
      <c r="L55" s="6">
        <f>J43+K43+L43</f>
        <v/>
      </c>
    </row>
    <row r="57">
      <c r="A57" t="inlineStr">
        <is>
          <t>Raw Images (object store, cumulative)</t>
        </is>
      </c>
      <c r="B57" t="inlineStr">
        <is>
          <t>TB</t>
        </is>
      </c>
      <c r="C57" s="6">
        <f>C35</f>
        <v/>
      </c>
      <c r="D57" s="6">
        <f>D35+C57</f>
        <v/>
      </c>
      <c r="E57" s="6">
        <f>E35+D57</f>
        <v/>
      </c>
      <c r="F57" s="6">
        <f>F35+E57</f>
        <v/>
      </c>
      <c r="G57" s="6">
        <f>G35+F57</f>
        <v/>
      </c>
      <c r="H57" s="6">
        <f>H35+G57</f>
        <v/>
      </c>
      <c r="I57" s="6">
        <f>I35+H57</f>
        <v/>
      </c>
      <c r="J57" s="6">
        <f>J35+I57</f>
        <v/>
      </c>
      <c r="K57" s="6">
        <f>K35+J57</f>
        <v/>
      </c>
      <c r="L57" s="6">
        <f>L35+K57</f>
        <v/>
      </c>
    </row>
    <row r="58">
      <c r="A58" t="inlineStr">
        <is>
          <t>Output Images lossy (obj store, 2yr)</t>
        </is>
      </c>
      <c r="B58" t="inlineStr">
        <is>
          <t>TB</t>
        </is>
      </c>
      <c r="C58" s="6">
        <f>C38*C13</f>
        <v/>
      </c>
      <c r="D58" s="6">
        <f>(D38+C38)*D13</f>
        <v/>
      </c>
      <c r="E58" s="6">
        <f>(E38+D38)*E13</f>
        <v/>
      </c>
      <c r="F58" s="6">
        <f>(F38+E38)*F13</f>
        <v/>
      </c>
      <c r="G58" s="6">
        <f>(G38+F38)*G13</f>
        <v/>
      </c>
      <c r="H58" s="6">
        <f>(H38+G38)*H13</f>
        <v/>
      </c>
      <c r="I58" s="6">
        <f>(I38+H38)*I13</f>
        <v/>
      </c>
      <c r="J58" s="6">
        <f>(J38+I38)*J13</f>
        <v/>
      </c>
      <c r="K58" s="6">
        <f>(K38+J38)*K13</f>
        <v/>
      </c>
      <c r="L58" s="6">
        <f>(L38+K38)*L13</f>
        <v/>
      </c>
    </row>
    <row r="59">
      <c r="A59" t="inlineStr">
        <is>
          <t>Coadd Images (obj store, 3yr)</t>
        </is>
      </c>
      <c r="B59" t="inlineStr">
        <is>
          <t>TB</t>
        </is>
      </c>
      <c r="C59" s="6">
        <f>C36</f>
        <v/>
      </c>
      <c r="D59" s="6">
        <f>C36+D36</f>
        <v/>
      </c>
      <c r="E59" s="6">
        <f>C36+D36+E36</f>
        <v/>
      </c>
      <c r="F59" s="6">
        <f>D36+E36+F36</f>
        <v/>
      </c>
      <c r="G59" s="6">
        <f>E36+F36+G36</f>
        <v/>
      </c>
      <c r="H59" s="6">
        <f>F36+G36+H36</f>
        <v/>
      </c>
      <c r="I59" s="6">
        <f>G36+H36+I36</f>
        <v/>
      </c>
      <c r="J59" s="6">
        <f>H36+I36+J36</f>
        <v/>
      </c>
      <c r="K59" s="6">
        <f>I36+J36+K36</f>
        <v/>
      </c>
      <c r="L59" s="6">
        <f>J36+K36+L36</f>
        <v/>
      </c>
    </row>
    <row r="60">
      <c r="A60" t="inlineStr">
        <is>
          <t>Output Parquet (obj store, 3yr)</t>
        </is>
      </c>
      <c r="B60" t="inlineStr">
        <is>
          <t>TB</t>
        </is>
      </c>
      <c r="C60" s="6">
        <f>C39</f>
        <v/>
      </c>
      <c r="D60" s="6">
        <f>C39+D39</f>
        <v/>
      </c>
      <c r="E60" s="6">
        <f>C39+D39+E39</f>
        <v/>
      </c>
      <c r="F60" s="6">
        <f>D39+E39+F39</f>
        <v/>
      </c>
      <c r="G60" s="6">
        <f>E39+F39+G39</f>
        <v/>
      </c>
      <c r="H60" s="6">
        <f>F39+G39+H39</f>
        <v/>
      </c>
      <c r="I60" s="6">
        <f>G39+H39+I39</f>
        <v/>
      </c>
      <c r="J60" s="6">
        <f>H39+I39+J39</f>
        <v/>
      </c>
      <c r="K60" s="6">
        <f>I39+J39+K39</f>
        <v/>
      </c>
      <c r="L60" s="6">
        <f>J39+K39+L39</f>
        <v/>
      </c>
    </row>
    <row r="61">
      <c r="A61" t="inlineStr">
        <is>
          <t>Total Object Store</t>
        </is>
      </c>
      <c r="B61" t="inlineStr">
        <is>
          <t>TB</t>
        </is>
      </c>
      <c r="C61" s="6">
        <f>SUM(C57:C60)+C32</f>
        <v/>
      </c>
      <c r="D61" s="6">
        <f>SUM(D57:D60)+D32</f>
        <v/>
      </c>
      <c r="E61" s="6">
        <f>SUM(E57:E60)+E32</f>
        <v/>
      </c>
      <c r="F61" s="6">
        <f>SUM(F57:F60)+F32</f>
        <v/>
      </c>
      <c r="G61" s="6">
        <f>SUM(G57:G60)+G32</f>
        <v/>
      </c>
      <c r="H61" s="6">
        <f>SUM(H57:H60)+H32</f>
        <v/>
      </c>
      <c r="I61" s="6">
        <f>SUM(I57:I60)+I32</f>
        <v/>
      </c>
      <c r="J61" s="6">
        <f>SUM(J57:J60)+J32</f>
        <v/>
      </c>
      <c r="K61" s="6">
        <f>SUM(K57:K60)+K32</f>
        <v/>
      </c>
      <c r="L61" s="6">
        <f>SUM(L57:L60)+L32</f>
        <v/>
      </c>
    </row>
    <row r="63">
      <c r="A63" t="inlineStr">
        <is>
          <t>Raw Images (tape, cumulative)</t>
        </is>
      </c>
      <c r="B63" t="inlineStr">
        <is>
          <t>TB</t>
        </is>
      </c>
      <c r="C63" s="6">
        <f>C57</f>
        <v/>
      </c>
      <c r="D63" s="6">
        <f>D57</f>
        <v/>
      </c>
      <c r="E63" s="6">
        <f>E57</f>
        <v/>
      </c>
      <c r="F63" s="6">
        <f>F57</f>
        <v/>
      </c>
      <c r="G63" s="6">
        <f>G57</f>
        <v/>
      </c>
      <c r="H63" s="6">
        <f>H57</f>
        <v/>
      </c>
      <c r="I63" s="6">
        <f>I57</f>
        <v/>
      </c>
      <c r="J63" s="6">
        <f>J57</f>
        <v/>
      </c>
      <c r="K63" s="6">
        <f>K57</f>
        <v/>
      </c>
      <c r="L63" s="6">
        <f>L57</f>
        <v/>
      </c>
    </row>
    <row r="64">
      <c r="A64" t="inlineStr">
        <is>
          <t>Data Products Backup (tape)</t>
        </is>
      </c>
      <c r="B64" t="inlineStr">
        <is>
          <t>TB</t>
        </is>
      </c>
      <c r="C64" s="6">
        <f>C53-SUM(C41:C43)</f>
        <v/>
      </c>
      <c r="D64" s="6">
        <f>D53-SUM(D41:D43)+C64</f>
        <v/>
      </c>
      <c r="E64" s="6">
        <f>E53-SUM(E41:E43)+D64</f>
        <v/>
      </c>
      <c r="F64" s="6">
        <f>F53-SUM(F41:F43)+E64</f>
        <v/>
      </c>
      <c r="G64" s="6">
        <f>G53-SUM(G41:G43)+F64</f>
        <v/>
      </c>
      <c r="H64" s="6">
        <f>H53-SUM(H41:H43)+G64</f>
        <v/>
      </c>
      <c r="I64" s="6">
        <f>I53-SUM(I41:I43)+H64</f>
        <v/>
      </c>
      <c r="J64" s="6">
        <f>J53-SUM(J41:J43)+I64</f>
        <v/>
      </c>
      <c r="K64" s="6">
        <f>K53-SUM(K41:K43)+J64</f>
        <v/>
      </c>
      <c r="L64" s="6">
        <f>L53-SUM(L41:L43)+K64</f>
        <v/>
      </c>
    </row>
    <row r="65">
      <c r="A65" t="inlineStr">
        <is>
          <t>Object Store Products (tape)</t>
        </is>
      </c>
      <c r="B65" t="inlineStr">
        <is>
          <t>TB</t>
        </is>
      </c>
      <c r="C65" s="6">
        <f>C36</f>
        <v/>
      </c>
      <c r="D65" s="6">
        <f>D36+C65</f>
        <v/>
      </c>
      <c r="E65" s="6">
        <f>E36+D65</f>
        <v/>
      </c>
      <c r="F65" s="6">
        <f>F36+E65</f>
        <v/>
      </c>
      <c r="G65" s="6">
        <f>G36+F65</f>
        <v/>
      </c>
      <c r="H65" s="6">
        <f>H36+G65</f>
        <v/>
      </c>
      <c r="I65" s="6">
        <f>I36+H65</f>
        <v/>
      </c>
      <c r="J65" s="6">
        <f>J36+I65</f>
        <v/>
      </c>
      <c r="K65" s="6">
        <f>K36+J65</f>
        <v/>
      </c>
      <c r="L65" s="6">
        <f>L36+K65</f>
        <v/>
      </c>
    </row>
    <row r="66">
      <c r="A66" t="inlineStr">
        <is>
          <t>Total Tape</t>
        </is>
      </c>
      <c r="B66" t="inlineStr">
        <is>
          <t>TB</t>
        </is>
      </c>
      <c r="C66" s="6">
        <f>SUM(C63:C65)</f>
        <v/>
      </c>
      <c r="D66" s="6">
        <f>SUM(D63:D65)</f>
        <v/>
      </c>
      <c r="E66" s="6">
        <f>SUM(E63:E65)</f>
        <v/>
      </c>
      <c r="F66" s="6">
        <f>SUM(F63:F65)</f>
        <v/>
      </c>
      <c r="G66" s="6">
        <f>SUM(G63:G65)</f>
        <v/>
      </c>
      <c r="H66" s="6">
        <f>SUM(H63:H65)</f>
        <v/>
      </c>
      <c r="I66" s="6">
        <f>SUM(I63:I65)</f>
        <v/>
      </c>
      <c r="J66" s="6">
        <f>SUM(J63:J65)</f>
        <v/>
      </c>
      <c r="K66" s="6">
        <f>SUM(K63:K65)</f>
        <v/>
      </c>
      <c r="L66" s="6">
        <f>SUM(L63:L65)</f>
        <v/>
      </c>
    </row>
    <row r="68">
      <c r="A68" s="3" t="inlineStr">
        <is>
          <t>Grand Total USDF Storage</t>
        </is>
      </c>
      <c r="B68" t="inlineStr">
        <is>
          <t>TB</t>
        </is>
      </c>
      <c r="C68" s="6">
        <f>C51+C53+C55+C61+C66</f>
        <v/>
      </c>
      <c r="D68" s="6">
        <f>D51+D53+D55+D61+D66</f>
        <v/>
      </c>
      <c r="E68" s="6">
        <f>E51+E53+E55+E61+E66</f>
        <v/>
      </c>
      <c r="F68" s="6">
        <f>F51+F53+F55+F61+F66</f>
        <v/>
      </c>
      <c r="G68" s="6">
        <f>G51+G53+G55+G61+G66</f>
        <v/>
      </c>
      <c r="H68" s="6">
        <f>H51+H53+H55+H61+H66</f>
        <v/>
      </c>
      <c r="I68" s="6">
        <f>I51+I53+I55+I61+I66</f>
        <v/>
      </c>
      <c r="J68" s="6">
        <f>J51+J53+J55+J61+J66</f>
        <v/>
      </c>
      <c r="K68" s="6">
        <f>K51+K53+K55+K61+K66</f>
        <v/>
      </c>
      <c r="L68" s="6">
        <f>L51+L53+L55+L61+L66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Ops Compute — USDF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DRP core-hours needed</t>
        </is>
      </c>
      <c r="B3" t="inlineStr">
        <is>
          <t>core-hours</t>
        </is>
      </c>
      <c r="C3" s="5" t="n">
        <v>16420799</v>
      </c>
      <c r="D3" s="5" t="n">
        <v>32841598</v>
      </c>
      <c r="E3" s="5" t="n">
        <v>49262397</v>
      </c>
      <c r="F3" s="5" t="n">
        <v>65683196</v>
      </c>
      <c r="G3" s="5" t="n">
        <v>82103995</v>
      </c>
      <c r="H3" s="5" t="n">
        <v>98524794</v>
      </c>
      <c r="I3" s="5" t="n">
        <v>114945593</v>
      </c>
      <c r="J3" s="5" t="n">
        <v>131366392</v>
      </c>
      <c r="K3" s="5" t="n">
        <v>147787191</v>
      </c>
      <c r="L3" s="5" t="n">
        <v>164207990</v>
      </c>
    </row>
    <row r="4">
      <c r="A4" t="inlineStr">
        <is>
          <t>DRP cores needed</t>
        </is>
      </c>
      <c r="B4" t="inlineStr">
        <is>
          <t>cores</t>
        </is>
      </c>
      <c r="C4" s="5">
        <f>C3/4800</f>
        <v/>
      </c>
      <c r="D4" s="5">
        <f>D3/4800</f>
        <v/>
      </c>
      <c r="E4" s="5">
        <f>E3/4800</f>
        <v/>
      </c>
      <c r="F4" s="5">
        <f>F3/4800</f>
        <v/>
      </c>
      <c r="G4" s="5">
        <f>G3/4800</f>
        <v/>
      </c>
      <c r="H4" s="5">
        <f>H3/4800</f>
        <v/>
      </c>
      <c r="I4" s="5">
        <f>I3/4800</f>
        <v/>
      </c>
      <c r="J4" s="5">
        <f>J3/4800</f>
        <v/>
      </c>
      <c r="K4" s="5">
        <f>K3/4800</f>
        <v/>
      </c>
      <c r="L4" s="5">
        <f>L3/4800</f>
        <v/>
      </c>
    </row>
    <row r="5">
      <c r="A5" t="inlineStr">
        <is>
          <t>DRP cores annual increase</t>
        </is>
      </c>
      <c r="B5" t="inlineStr">
        <is>
          <t>cores</t>
        </is>
      </c>
      <c r="C5" s="5">
        <f>C4</f>
        <v/>
      </c>
      <c r="D5" s="5">
        <f>D4-C4</f>
        <v/>
      </c>
      <c r="E5" s="5">
        <f>E4-D4</f>
        <v/>
      </c>
      <c r="F5" s="5">
        <f>F4-E4</f>
        <v/>
      </c>
      <c r="G5" s="5">
        <f>G4-F4</f>
        <v/>
      </c>
      <c r="H5" s="5">
        <f>H4-G4</f>
        <v/>
      </c>
      <c r="I5" s="5">
        <f>I4-H4</f>
        <v/>
      </c>
      <c r="J5" s="5">
        <f>J4-I4</f>
        <v/>
      </c>
      <c r="K5" s="5">
        <f>K4-J4</f>
        <v/>
      </c>
      <c r="L5" s="5">
        <f>L4-K4</f>
        <v/>
      </c>
    </row>
    <row r="6">
      <c r="A6" t="inlineStr">
        <is>
          <t>DRP cores refresh (3yr cycle)</t>
        </is>
      </c>
      <c r="B6" t="inlineStr">
        <is>
          <t>cores</t>
        </is>
      </c>
      <c r="C6" s="5" t="n">
        <v>0</v>
      </c>
      <c r="D6" s="5" t="n">
        <v>0</v>
      </c>
      <c r="E6" s="5" t="n">
        <v>0</v>
      </c>
      <c r="F6" s="5">
        <f>C5</f>
        <v/>
      </c>
      <c r="G6" s="5">
        <f>D5</f>
        <v/>
      </c>
      <c r="H6" s="5">
        <f>E5</f>
        <v/>
      </c>
      <c r="I6" s="5">
        <f>F5</f>
        <v/>
      </c>
      <c r="J6" s="5">
        <f>G5</f>
        <v/>
      </c>
      <c r="K6" s="5">
        <f>H5</f>
        <v/>
      </c>
      <c r="L6" s="5">
        <f>I5</f>
        <v/>
      </c>
    </row>
    <row r="7">
      <c r="A7" t="inlineStr">
        <is>
          <t>DRP cores to purchase</t>
        </is>
      </c>
      <c r="B7" t="inlineStr">
        <is>
          <t>cores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  <c r="I7" s="5">
        <f>I5+I6</f>
        <v/>
      </c>
      <c r="J7" s="5">
        <f>J5+J6</f>
        <v/>
      </c>
      <c r="K7" s="5">
        <f>K5+K6</f>
        <v/>
      </c>
      <c r="L7" s="5">
        <f>L5+L6</f>
        <v/>
      </c>
    </row>
    <row r="9">
      <c r="A9" t="inlineStr">
        <is>
          <t>AP cores (alert production)</t>
        </is>
      </c>
      <c r="B9" t="inlineStr">
        <is>
          <t>cores</t>
        </is>
      </c>
      <c r="C9" s="5" t="n">
        <v>1188</v>
      </c>
      <c r="D9" s="5" t="n">
        <v>1188</v>
      </c>
      <c r="E9" s="5" t="n">
        <v>1188</v>
      </c>
      <c r="F9" s="5" t="n">
        <v>1188</v>
      </c>
      <c r="G9" s="5" t="n">
        <v>1188</v>
      </c>
      <c r="H9" s="5" t="n">
        <v>1188</v>
      </c>
      <c r="I9" s="5" t="n">
        <v>1188</v>
      </c>
      <c r="J9" s="5" t="n">
        <v>1188</v>
      </c>
      <c r="K9" s="5" t="n">
        <v>1188</v>
      </c>
      <c r="L9" s="5" t="n">
        <v>1188</v>
      </c>
    </row>
    <row r="11">
      <c r="A11" t="inlineStr">
        <is>
          <t>DAC/LSP cores (10% of DRP)</t>
        </is>
      </c>
      <c r="B11" t="inlineStr">
        <is>
          <t>cores</t>
        </is>
      </c>
      <c r="C11" s="5">
        <f>0.1*C4</f>
        <v/>
      </c>
      <c r="D11" s="5">
        <f>0.1*D4</f>
        <v/>
      </c>
      <c r="E11" s="5">
        <f>0.1*E4</f>
        <v/>
      </c>
      <c r="F11" s="5">
        <f>0.1*F4</f>
        <v/>
      </c>
      <c r="G11" s="5">
        <f>0.1*G4</f>
        <v/>
      </c>
      <c r="H11" s="5">
        <f>0.1*H4</f>
        <v/>
      </c>
      <c r="I11" s="5">
        <f>0.1*I4</f>
        <v/>
      </c>
      <c r="J11" s="5">
        <f>0.1*J4</f>
        <v/>
      </c>
      <c r="K11" s="5">
        <f>0.1*K4</f>
        <v/>
      </c>
      <c r="L11" s="5">
        <f>0.1*L4</f>
        <v/>
      </c>
    </row>
    <row r="12">
      <c r="A12" t="inlineStr">
        <is>
          <t>Staff LSP cores (10% of DAC)</t>
        </is>
      </c>
      <c r="B12" t="inlineStr">
        <is>
          <t>cores</t>
        </is>
      </c>
      <c r="C12" s="5">
        <f>0.1*C11</f>
        <v/>
      </c>
      <c r="D12" s="5">
        <f>0.1*D11</f>
        <v/>
      </c>
      <c r="E12" s="5">
        <f>0.1*E11</f>
        <v/>
      </c>
      <c r="F12" s="5">
        <f>0.1*F11</f>
        <v/>
      </c>
      <c r="G12" s="5">
        <f>0.1*G11</f>
        <v/>
      </c>
      <c r="H12" s="5">
        <f>0.1*H11</f>
        <v/>
      </c>
      <c r="I12" s="5">
        <f>0.1*I11</f>
        <v/>
      </c>
      <c r="J12" s="5">
        <f>0.1*J11</f>
        <v/>
      </c>
      <c r="K12" s="5">
        <f>0.1*K11</f>
        <v/>
      </c>
      <c r="L12" s="5">
        <f>0.1*L11</f>
        <v/>
      </c>
    </row>
    <row r="13">
      <c r="A13" t="inlineStr">
        <is>
          <t>LSP cores per science user</t>
        </is>
      </c>
      <c r="B13" t="inlineStr">
        <is>
          <t>cores/user</t>
        </is>
      </c>
      <c r="C13">
        <f>C11/'Ops Storage'!C8</f>
        <v/>
      </c>
      <c r="D13">
        <f>D11/'Ops Storage'!D8</f>
        <v/>
      </c>
      <c r="E13">
        <f>E11/'Ops Storage'!E8</f>
        <v/>
      </c>
      <c r="F13">
        <f>F11/'Ops Storage'!F8</f>
        <v/>
      </c>
      <c r="G13">
        <f>G11/'Ops Storage'!G8</f>
        <v/>
      </c>
      <c r="H13">
        <f>H11/'Ops Storage'!H8</f>
        <v/>
      </c>
      <c r="I13">
        <f>I11/'Ops Storage'!I8</f>
        <v/>
      </c>
      <c r="J13">
        <f>J11/'Ops Storage'!J8</f>
        <v/>
      </c>
      <c r="K13">
        <f>K11/'Ops Storage'!K8</f>
        <v/>
      </c>
      <c r="L13">
        <f>L11/'Ops Storage'!L8</f>
        <v/>
      </c>
    </row>
    <row r="15">
      <c r="A15" t="inlineStr">
        <is>
          <t>Qserv data per node</t>
        </is>
      </c>
      <c r="B15" t="inlineStr">
        <is>
          <t>TB/node</t>
        </is>
      </c>
      <c r="C15" s="6" t="n">
        <v>43.2</v>
      </c>
      <c r="D15" s="6" t="n">
        <v>43.2</v>
      </c>
      <c r="E15" s="6" t="n">
        <v>86.40000000000001</v>
      </c>
      <c r="F15" s="6" t="n">
        <v>86.40000000000001</v>
      </c>
      <c r="G15" s="6" t="n">
        <v>86.40000000000001</v>
      </c>
      <c r="H15" s="6" t="n">
        <v>86.40000000000001</v>
      </c>
      <c r="I15" s="6" t="n">
        <v>172.8</v>
      </c>
      <c r="J15" s="6" t="n">
        <v>172.8</v>
      </c>
      <c r="K15" s="6" t="n">
        <v>172.8</v>
      </c>
      <c r="L15" s="6" t="n">
        <v>172.8</v>
      </c>
    </row>
    <row r="16">
      <c r="A16" t="inlineStr">
        <is>
          <t>Qserv nodes needed</t>
        </is>
      </c>
      <c r="B16" t="inlineStr">
        <is>
          <t>nodes</t>
        </is>
      </c>
      <c r="C16" s="5">
        <f>CEILING('Ops Storage'!C43/C15,1)</f>
        <v/>
      </c>
      <c r="D16" s="5">
        <f>CEILING('Ops Storage'!C43/C15,1)+CEILING('Ops Storage'!D43/D15,1)</f>
        <v/>
      </c>
      <c r="E16" s="5">
        <f>CEILING('Ops Storage'!C43/C15,1)+CEILING('Ops Storage'!D43/D15,1)+CEILING('Ops Storage'!E43/E15,1)</f>
        <v/>
      </c>
      <c r="F16" s="5">
        <f>CEILING('Ops Storage'!D43/D15,1)+CEILING('Ops Storage'!E43/E15,1)+CEILING('Ops Storage'!F43/F15,1)</f>
        <v/>
      </c>
      <c r="G16" s="5">
        <f>CEILING('Ops Storage'!E43/E15,1)+CEILING('Ops Storage'!F43/F15,1)+CEILING('Ops Storage'!G43/G15,1)</f>
        <v/>
      </c>
      <c r="H16" s="5">
        <f>CEILING('Ops Storage'!F43/F15,1)+CEILING('Ops Storage'!G43/G15,1)+CEILING('Ops Storage'!H43/H15,1)</f>
        <v/>
      </c>
      <c r="I16" s="5">
        <f>CEILING('Ops Storage'!G43/G15,1)+CEILING('Ops Storage'!H43/H15,1)+CEILING('Ops Storage'!I43/I15,1)</f>
        <v/>
      </c>
      <c r="J16" s="5">
        <f>CEILING('Ops Storage'!H43/H15,1)+CEILING('Ops Storage'!I43/I15,1)+CEILING('Ops Storage'!J43/J15,1)</f>
        <v/>
      </c>
      <c r="K16" s="5">
        <f>CEILING('Ops Storage'!I43/I15,1)+CEILING('Ops Storage'!J43/J15,1)+CEILING('Ops Storage'!K43/K15,1)</f>
        <v/>
      </c>
      <c r="L16" s="5">
        <f>CEILING('Ops Storage'!J43/J15,1)+CEILING('Ops Storage'!K43/K15,1)+CEILING('Ops Storage'!L43/L15,1)</f>
        <v/>
      </c>
    </row>
    <row r="18">
      <c r="A18" t="inlineStr">
        <is>
          <t>GPU H200 nodes</t>
        </is>
      </c>
      <c r="B18" t="inlineStr">
        <is>
          <t>nodes</t>
        </is>
      </c>
      <c r="C18" s="5" t="n">
        <v>2</v>
      </c>
      <c r="D18" s="5" t="n">
        <v>2</v>
      </c>
      <c r="E18" s="5" t="n">
        <v>2</v>
      </c>
      <c r="F18" s="5" t="n">
        <v>2</v>
      </c>
      <c r="G18" s="5" t="n">
        <v>2</v>
      </c>
      <c r="H18" s="5" t="n">
        <v>2</v>
      </c>
      <c r="I18" s="5" t="n">
        <v>2</v>
      </c>
      <c r="J18" s="5" t="n">
        <v>2</v>
      </c>
      <c r="K18" s="5" t="n">
        <v>2</v>
      </c>
      <c r="L18" s="5" t="n">
        <v>2</v>
      </c>
    </row>
    <row r="20">
      <c r="A20" t="inlineStr">
        <is>
          <t>K8s infrastructure nodes</t>
        </is>
      </c>
      <c r="B20" t="inlineStr">
        <is>
          <t>nodes</t>
        </is>
      </c>
      <c r="C20" s="5" t="n">
        <v>75</v>
      </c>
      <c r="D20" s="5" t="n">
        <v>75</v>
      </c>
      <c r="E20" s="5" t="n">
        <v>75</v>
      </c>
      <c r="F20" s="5" t="n">
        <v>75</v>
      </c>
      <c r="G20" s="5" t="n">
        <v>75</v>
      </c>
      <c r="H20" s="5" t="n">
        <v>75</v>
      </c>
      <c r="I20" s="5" t="n">
        <v>75</v>
      </c>
      <c r="J20" s="5" t="n">
        <v>75</v>
      </c>
      <c r="K20" s="5" t="n">
        <v>75</v>
      </c>
      <c r="L20" s="5" t="n">
        <v>75</v>
      </c>
    </row>
    <row r="22">
      <c r="A22" s="3" t="inlineStr">
        <is>
          <t>Total cores annual purchase</t>
        </is>
      </c>
      <c r="B22" t="inlineStr">
        <is>
          <t>cores</t>
        </is>
      </c>
      <c r="C22" s="5">
        <f>C7+C9+C11+C12</f>
        <v/>
      </c>
      <c r="D22" s="5">
        <f>D7+D9+D11+D12</f>
        <v/>
      </c>
      <c r="E22" s="5">
        <f>E7+E9+E11+E12</f>
        <v/>
      </c>
      <c r="F22" s="5">
        <f>F7+F9+F11+F12</f>
        <v/>
      </c>
      <c r="G22" s="5">
        <f>G7+G9+G11+G12</f>
        <v/>
      </c>
      <c r="H22" s="5">
        <f>H7+H9+H11+H12</f>
        <v/>
      </c>
      <c r="I22" s="5">
        <f>I7+I9+I11+I12</f>
        <v/>
      </c>
      <c r="J22" s="5">
        <f>J7+J9+J11+J12</f>
        <v/>
      </c>
      <c r="K22" s="5">
        <f>K7+K9+K11+K12</f>
        <v/>
      </c>
      <c r="L22" s="5">
        <f>L7+L9+L11+L12</f>
        <v/>
      </c>
    </row>
    <row r="23">
      <c r="A23" t="inlineStr">
        <is>
          <t>Batch nodes to purchase</t>
        </is>
      </c>
      <c r="B23" t="inlineStr">
        <is>
          <t>nodes</t>
        </is>
      </c>
      <c r="C23" s="5">
        <f>ROUNDUP(C22/120,0)</f>
        <v/>
      </c>
      <c r="D23" s="5">
        <f>ROUNDUP(D22/120,0)</f>
        <v/>
      </c>
      <c r="E23" s="5">
        <f>ROUNDUP(E22/120,0)</f>
        <v/>
      </c>
      <c r="F23" s="5">
        <f>ROUNDUP(F22/120,0)</f>
        <v/>
      </c>
      <c r="G23" s="5">
        <f>ROUNDUP(G22/120,0)</f>
        <v/>
      </c>
      <c r="H23" s="5">
        <f>ROUNDUP(H22/120,0)</f>
        <v/>
      </c>
      <c r="I23" s="5">
        <f>ROUNDUP(I22/120,0)</f>
        <v/>
      </c>
      <c r="J23" s="5">
        <f>ROUNDUP(J22/120,0)</f>
        <v/>
      </c>
      <c r="K23" s="5">
        <f>ROUNDUP(K22/120,0)</f>
        <v/>
      </c>
      <c r="L23" s="5">
        <f>ROUNDUP(L22/120,0)</f>
        <v/>
      </c>
    </row>
    <row r="24">
      <c r="A24" t="inlineStr">
        <is>
          <t>Cumulative batch cores owned</t>
        </is>
      </c>
      <c r="B24" t="inlineStr">
        <is>
          <t>cores</t>
        </is>
      </c>
      <c r="C24" s="5">
        <f>7600+C22</f>
        <v/>
      </c>
      <c r="D24" s="5">
        <f>C24+D22</f>
        <v/>
      </c>
      <c r="E24" s="5">
        <f>D24+E22</f>
        <v/>
      </c>
      <c r="F24" s="5">
        <f>E24+F22</f>
        <v/>
      </c>
      <c r="G24" s="5">
        <f>F24+G22</f>
        <v/>
      </c>
      <c r="H24" s="5">
        <f>G24+H22</f>
        <v/>
      </c>
      <c r="I24" s="5">
        <f>H24+I22</f>
        <v/>
      </c>
      <c r="J24" s="5">
        <f>I24+J22</f>
        <v/>
      </c>
      <c r="K24" s="5">
        <f>J24+K22</f>
        <v/>
      </c>
      <c r="L24" s="5">
        <f>K24+L22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>
      <c r="A1" s="4" t="inlineStr">
        <is>
          <t>Machine Catalog</t>
        </is>
      </c>
    </row>
    <row r="2">
      <c r="A2" s="2" t="inlineStr">
        <is>
          <t>Type</t>
        </is>
      </c>
      <c r="B2" s="2" t="inlineStr">
        <is>
          <t>Cores</t>
        </is>
      </c>
      <c r="C2" s="2" t="inlineStr">
        <is>
          <t>RAM (GB)</t>
        </is>
      </c>
      <c r="D2" s="2" t="inlineStr">
        <is>
          <t>Eff Cores/Node</t>
        </is>
      </c>
      <c r="E2" s="2" t="inlineStr">
        <is>
          <t>Cost (USD)</t>
        </is>
      </c>
      <c r="F2" s="2" t="inlineStr">
        <is>
          <t>Purpose</t>
        </is>
      </c>
    </row>
    <row r="3">
      <c r="A3" t="inlineStr">
        <is>
          <t>Milano (batch)</t>
        </is>
      </c>
      <c r="B3" t="n">
        <v>128</v>
      </c>
      <c r="C3" t="n">
        <v>512</v>
      </c>
      <c r="D3" t="n">
        <v>128</v>
      </c>
      <c r="E3" s="7" t="n">
        <v>11800</v>
      </c>
      <c r="F3" t="inlineStr">
        <is>
          <t>Current Slurm batch</t>
        </is>
      </c>
    </row>
    <row r="4">
      <c r="A4" t="inlineStr">
        <is>
          <t>Torino (batch)</t>
        </is>
      </c>
      <c r="B4" t="n">
        <v>120</v>
      </c>
      <c r="C4" t="n">
        <v>720</v>
      </c>
      <c r="D4" t="n">
        <v>120</v>
      </c>
      <c r="E4" s="7" t="n">
        <v>16000</v>
      </c>
      <c r="F4" t="inlineStr">
        <is>
          <t>Future Slurm batch</t>
        </is>
      </c>
    </row>
    <row r="5">
      <c r="A5" t="inlineStr">
        <is>
          <t>K8s node</t>
        </is>
      </c>
      <c r="B5" t="n">
        <v>48</v>
      </c>
      <c r="C5" t="n">
        <v>256</v>
      </c>
      <c r="D5" t="n">
        <v>27</v>
      </c>
      <c r="E5" s="7" t="n">
        <v>8000</v>
      </c>
      <c r="F5" t="inlineStr">
        <is>
          <t>Kubernetes infra</t>
        </is>
      </c>
    </row>
    <row r="6">
      <c r="A6" t="inlineStr">
        <is>
          <t>Qserv node</t>
        </is>
      </c>
      <c r="B6" t="n">
        <v>32</v>
      </c>
      <c r="C6" t="n">
        <v>256</v>
      </c>
      <c r="D6" t="n">
        <v>32</v>
      </c>
      <c r="E6" s="7" t="n">
        <v>20000</v>
      </c>
      <c r="F6" t="inlineStr">
        <is>
          <t>Qserv/Cassandra bare-metal</t>
        </is>
      </c>
    </row>
    <row r="7">
      <c r="A7" t="inlineStr">
        <is>
          <t>GPU H200</t>
        </is>
      </c>
      <c r="B7" t="n">
        <v>128</v>
      </c>
      <c r="C7" t="n">
        <v>512</v>
      </c>
      <c r="D7" t="n">
        <v>128</v>
      </c>
      <c r="E7" s="7" t="n">
        <v>250000</v>
      </c>
      <c r="F7" t="inlineStr">
        <is>
          <t>GPU compute</t>
        </is>
      </c>
    </row>
    <row r="9">
      <c r="A9" s="4" t="inlineStr">
        <is>
          <t>Storage Catalog</t>
        </is>
      </c>
    </row>
    <row r="10">
      <c r="A10" s="2" t="inlineStr">
        <is>
          <t>Tier</t>
        </is>
      </c>
      <c r="B10" s="2" t="inlineStr">
        <is>
          <t>$/TB (2026)</t>
        </is>
      </c>
    </row>
    <row r="11">
      <c r="A11" t="inlineStr">
        <is>
          <t>Flash (NVMe / Weka)</t>
        </is>
      </c>
      <c r="B11" s="7" t="n">
        <v>320</v>
      </c>
    </row>
    <row r="12">
      <c r="A12" t="inlineStr">
        <is>
          <t>Normal (SATA HDD / Ceph)</t>
        </is>
      </c>
      <c r="B12" s="7" t="n">
        <v>56</v>
      </c>
    </row>
    <row r="13">
      <c r="A13" t="inlineStr">
        <is>
          <t>Latent (Object Store)</t>
        </is>
      </c>
      <c r="B13" s="7" t="n">
        <v>36</v>
      </c>
    </row>
    <row r="14">
      <c r="A14" t="inlineStr">
        <is>
          <t>Tape (LTO)</t>
        </is>
      </c>
      <c r="B14" s="7" t="n">
        <v>12.5</v>
      </c>
    </row>
    <row r="17">
      <c r="A17" s="4" t="inlineStr">
        <is>
          <t>Price &amp; Lifecycle Parameters</t>
        </is>
      </c>
    </row>
    <row r="18">
      <c r="A18" s="2" t="inlineStr">
        <is>
          <t>Parameter</t>
        </is>
      </c>
      <c r="B18" s="2" t="inlineStr">
        <is>
          <t>Value</t>
        </is>
      </c>
      <c r="C18" s="2" t="inlineStr">
        <is>
          <t>Factor (1-rate)</t>
        </is>
      </c>
    </row>
    <row r="19">
      <c r="A19" t="inlineStr">
        <is>
          <t>CPU annual price decrease</t>
        </is>
      </c>
      <c r="B19" t="n">
        <v>0</v>
      </c>
      <c r="C19">
        <f>1-B19</f>
        <v/>
      </c>
    </row>
    <row r="20">
      <c r="A20" t="inlineStr">
        <is>
          <t>Storage annual price decrease</t>
        </is>
      </c>
      <c r="B20" t="n">
        <v>0</v>
      </c>
      <c r="C20">
        <f>1-B20</f>
        <v/>
      </c>
    </row>
    <row r="21">
      <c r="A21" t="inlineStr">
        <is>
          <t>Qserv annual price decrease</t>
        </is>
      </c>
      <c r="B21" t="n">
        <v>0</v>
      </c>
      <c r="C21">
        <f>1-B21</f>
        <v/>
      </c>
    </row>
    <row r="22">
      <c r="A22" t="inlineStr">
        <is>
          <t>Scale year (baseline)</t>
        </is>
      </c>
      <c r="B22" t="n">
        <v>2026</v>
      </c>
    </row>
    <row r="23">
      <c r="A23" t="inlineStr">
        <is>
          <t>Compute lifetime (years)</t>
        </is>
      </c>
      <c r="B23" t="n">
        <v>3</v>
      </c>
    </row>
    <row r="24">
      <c r="A24" t="inlineStr">
        <is>
          <t>Storage lifetime (years)</t>
        </is>
      </c>
      <c r="B24" t="n">
        <v>5</v>
      </c>
    </row>
    <row r="27">
      <c r="A27" s="4" t="inlineStr">
        <is>
          <t>Hosting &amp; Overhead</t>
        </is>
      </c>
    </row>
    <row r="28">
      <c r="A28" t="inlineStr">
        <is>
          <t>Nodes per rack</t>
        </is>
      </c>
      <c r="B28" t="n">
        <v>36</v>
      </c>
    </row>
    <row r="29">
      <c r="A29" t="inlineStr">
        <is>
          <t>Rack install cost (USD)</t>
        </is>
      </c>
      <c r="B29" s="7" t="n">
        <v>24000</v>
      </c>
    </row>
    <row r="30">
      <c r="A30" t="inlineStr">
        <is>
          <t>Hosting per node per year (USD)</t>
        </is>
      </c>
      <c r="B30" s="7" t="n">
        <v>566</v>
      </c>
    </row>
    <row r="31">
      <c r="A31" t="inlineStr">
        <is>
          <t>Overhead % of hardware</t>
        </is>
      </c>
      <c r="B31" t="n">
        <v>0.14</v>
      </c>
    </row>
    <row r="32">
      <c r="A32" t="inlineStr">
        <is>
          <t>Overhead fixed ($M/year)</t>
        </is>
      </c>
      <c r="B32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4" t="inlineStr">
        <is>
          <t>Ops Costs — USDF Annual Hardware Spend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 (FY2026)</t>
        </is>
      </c>
      <c r="D2" s="2" t="inlineStr">
        <is>
          <t>LOY2 (FY2027)</t>
        </is>
      </c>
      <c r="E2" s="2" t="inlineStr">
        <is>
          <t>LOY3 (FY2028)</t>
        </is>
      </c>
      <c r="F2" s="2" t="inlineStr">
        <is>
          <t>LOY4 (FY2029)</t>
        </is>
      </c>
      <c r="G2" s="2" t="inlineStr">
        <is>
          <t>LOY5 (FY2030)</t>
        </is>
      </c>
      <c r="H2" s="2" t="inlineStr">
        <is>
          <t>LOY6 (FY2031)</t>
        </is>
      </c>
      <c r="I2" s="2" t="inlineStr">
        <is>
          <t>LOY7 (FY2032)</t>
        </is>
      </c>
      <c r="J2" s="2" t="inlineStr">
        <is>
          <t>LOY8 (FY2033)</t>
        </is>
      </c>
      <c r="K2" s="2" t="inlineStr">
        <is>
          <t>LOY9 (FY2034)</t>
        </is>
      </c>
      <c r="L2" s="2" t="inlineStr">
        <is>
          <t>LOY10 (FY2035)</t>
        </is>
      </c>
      <c r="M2" s="2" t="inlineStr">
        <is>
          <t>Total</t>
        </is>
      </c>
    </row>
    <row r="3">
      <c r="A3" t="inlineStr">
        <is>
          <t>Batch compute (nodes * Torino price)</t>
        </is>
      </c>
      <c r="B3" t="inlineStr">
        <is>
          <t>$M</t>
        </is>
      </c>
      <c r="C3" s="8">
        <f>'Ops Compute'!C23*16000/1000000</f>
        <v/>
      </c>
      <c r="D3" s="8">
        <f>'Ops Compute'!D23*16000/1000000</f>
        <v/>
      </c>
      <c r="E3" s="8">
        <f>'Ops Compute'!E23*16000/1000000</f>
        <v/>
      </c>
      <c r="F3" s="8">
        <f>'Ops Compute'!F23*16000/1000000</f>
        <v/>
      </c>
      <c r="G3" s="8">
        <f>'Ops Compute'!G23*16000/1000000</f>
        <v/>
      </c>
      <c r="H3" s="8">
        <f>'Ops Compute'!H23*16000/1000000</f>
        <v/>
      </c>
      <c r="I3" s="8">
        <f>'Ops Compute'!I23*16000/1000000</f>
        <v/>
      </c>
      <c r="J3" s="8">
        <f>'Ops Compute'!J23*16000/1000000</f>
        <v/>
      </c>
      <c r="K3" s="8">
        <f>'Ops Compute'!K23*16000/1000000</f>
        <v/>
      </c>
      <c r="L3" s="8">
        <f>'Ops Compute'!L23*16000/1000000</f>
        <v/>
      </c>
      <c r="M3" s="8">
        <f>SUM(C3:L3)</f>
        <v/>
      </c>
    </row>
    <row r="4">
      <c r="A4" t="inlineStr">
        <is>
          <t>Batch compute (price-adjusted)</t>
        </is>
      </c>
      <c r="B4" t="inlineStr">
        <is>
          <t>$M</t>
        </is>
      </c>
      <c r="C4" s="8">
        <f>C3*POWER(1.0,2026-2026)</f>
        <v/>
      </c>
      <c r="D4" s="8">
        <f>D3*POWER(1.0,2027-2026)</f>
        <v/>
      </c>
      <c r="E4" s="8">
        <f>E3*POWER(1.0,2028-2026)</f>
        <v/>
      </c>
      <c r="F4" s="8">
        <f>F3*POWER(1.0,2029-2026)</f>
        <v/>
      </c>
      <c r="G4" s="8">
        <f>G3*POWER(1.0,2030-2026)</f>
        <v/>
      </c>
      <c r="H4" s="8">
        <f>H3*POWER(1.0,2031-2026)</f>
        <v/>
      </c>
      <c r="I4" s="8">
        <f>I3*POWER(1.0,2032-2026)</f>
        <v/>
      </c>
      <c r="J4" s="8">
        <f>J3*POWER(1.0,2033-2026)</f>
        <v/>
      </c>
      <c r="K4" s="8">
        <f>K3*POWER(1.0,2034-2026)</f>
        <v/>
      </c>
      <c r="L4" s="8">
        <f>L3*POWER(1.0,2035-2026)</f>
        <v/>
      </c>
      <c r="M4" s="8">
        <f>SUM(C4:L4)</f>
        <v/>
      </c>
    </row>
    <row r="5">
      <c r="A5" t="inlineStr">
        <is>
          <t>Qserv node purchases</t>
        </is>
      </c>
      <c r="B5" t="inlineStr">
        <is>
          <t>$M</t>
        </is>
      </c>
      <c r="C5" s="8">
        <f>'Ops Compute'!C16*20000/1000000</f>
        <v/>
      </c>
      <c r="D5" s="8">
        <f>MAX(0,'Ops Compute'!D16-'Ops Compute'!C16)*20000/1000000</f>
        <v/>
      </c>
      <c r="E5" s="8">
        <f>MAX(0,'Ops Compute'!E16-'Ops Compute'!D16)*20000/1000000</f>
        <v/>
      </c>
      <c r="F5" s="8">
        <f>MAX(0,'Ops Compute'!F16-'Ops Compute'!E16)*20000/1000000</f>
        <v/>
      </c>
      <c r="G5" s="8">
        <f>MAX(0,'Ops Compute'!G16-'Ops Compute'!F16)*20000/1000000</f>
        <v/>
      </c>
      <c r="H5" s="8">
        <f>MAX(0,'Ops Compute'!H16-'Ops Compute'!G16)*20000/1000000</f>
        <v/>
      </c>
      <c r="I5" s="8">
        <f>MAX(0,'Ops Compute'!I16-'Ops Compute'!H16)*20000/1000000</f>
        <v/>
      </c>
      <c r="J5" s="8">
        <f>MAX(0,'Ops Compute'!J16-'Ops Compute'!I16)*20000/1000000</f>
        <v/>
      </c>
      <c r="K5" s="8">
        <f>MAX(0,'Ops Compute'!K16-'Ops Compute'!J16)*20000/1000000</f>
        <v/>
      </c>
      <c r="L5" s="8">
        <f>MAX(0,'Ops Compute'!L16-'Ops Compute'!K16)*20000/1000000</f>
        <v/>
      </c>
      <c r="M5" s="8">
        <f>SUM(C5:L5)</f>
        <v/>
      </c>
    </row>
    <row r="6">
      <c r="A6" t="inlineStr">
        <is>
          <t>Qserv (price-adjusted)</t>
        </is>
      </c>
      <c r="B6" t="inlineStr">
        <is>
          <t>$M</t>
        </is>
      </c>
      <c r="C6" s="8">
        <f>C5*POWER(1.0,2026-2026)</f>
        <v/>
      </c>
      <c r="D6" s="8">
        <f>D5*POWER(1.0,2027-2026)</f>
        <v/>
      </c>
      <c r="E6" s="8">
        <f>E5*POWER(1.0,2028-2026)</f>
        <v/>
      </c>
      <c r="F6" s="8">
        <f>F5*POWER(1.0,2029-2026)</f>
        <v/>
      </c>
      <c r="G6" s="8">
        <f>G5*POWER(1.0,2030-2026)</f>
        <v/>
      </c>
      <c r="H6" s="8">
        <f>H5*POWER(1.0,2031-2026)</f>
        <v/>
      </c>
      <c r="I6" s="8">
        <f>I5*POWER(1.0,2032-2026)</f>
        <v/>
      </c>
      <c r="J6" s="8">
        <f>J5*POWER(1.0,2033-2026)</f>
        <v/>
      </c>
      <c r="K6" s="8">
        <f>K5*POWER(1.0,2034-2026)</f>
        <v/>
      </c>
      <c r="L6" s="8">
        <f>L5*POWER(1.0,2035-2026)</f>
        <v/>
      </c>
      <c r="M6" s="8">
        <f>SUM(C6:L6)</f>
        <v/>
      </c>
    </row>
    <row r="7">
      <c r="A7" t="inlineStr">
        <is>
          <t>GPU H200 purchases</t>
        </is>
      </c>
      <c r="B7" t="inlineStr">
        <is>
          <t>$M</t>
        </is>
      </c>
      <c r="C7" s="8">
        <f>'Ops Compute'!C18*250000/1000000</f>
        <v/>
      </c>
      <c r="D7" s="8">
        <f>'Ops Compute'!D18*250000/1000000</f>
        <v/>
      </c>
      <c r="E7" s="8">
        <f>'Ops Compute'!E18*250000/1000000</f>
        <v/>
      </c>
      <c r="F7" s="8">
        <f>'Ops Compute'!F18*250000/1000000</f>
        <v/>
      </c>
      <c r="G7" s="8">
        <f>'Ops Compute'!G18*250000/1000000</f>
        <v/>
      </c>
      <c r="H7" s="8">
        <f>'Ops Compute'!H18*250000/1000000</f>
        <v/>
      </c>
      <c r="I7" s="8">
        <f>'Ops Compute'!I18*250000/1000000</f>
        <v/>
      </c>
      <c r="J7" s="8">
        <f>'Ops Compute'!J18*250000/1000000</f>
        <v/>
      </c>
      <c r="K7" s="8">
        <f>'Ops Compute'!K18*250000/1000000</f>
        <v/>
      </c>
      <c r="L7" s="8">
        <f>'Ops Compute'!L18*250000/1000000</f>
        <v/>
      </c>
      <c r="M7" s="8">
        <f>SUM(C7:L7)</f>
        <v/>
      </c>
    </row>
    <row r="8">
      <c r="A8" t="inlineStr">
        <is>
          <t>K8s infrastructure</t>
        </is>
      </c>
      <c r="B8" t="inlineStr">
        <is>
          <t>$M</t>
        </is>
      </c>
      <c r="C8">
        <f>'Ops Compute'!C20*8000/1000000</f>
        <v/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>
        <f>SUM(C8:L8)</f>
        <v/>
      </c>
    </row>
    <row r="9">
      <c r="A9" s="3" t="inlineStr">
        <is>
          <t>Total Compute Cost</t>
        </is>
      </c>
      <c r="B9" t="inlineStr">
        <is>
          <t>$M</t>
        </is>
      </c>
      <c r="C9" s="8">
        <f>C4+C6+C7+C8</f>
        <v/>
      </c>
      <c r="D9" s="8">
        <f>D4+D6+D7+D8</f>
        <v/>
      </c>
      <c r="E9" s="8">
        <f>E4+E6+E7+E8</f>
        <v/>
      </c>
      <c r="F9" s="8">
        <f>F4+F6+F7+F8</f>
        <v/>
      </c>
      <c r="G9" s="8">
        <f>G4+G6+G7+G8</f>
        <v/>
      </c>
      <c r="H9" s="8">
        <f>H4+H6+H7+H8</f>
        <v/>
      </c>
      <c r="I9" s="8">
        <f>I4+I6+I7+I8</f>
        <v/>
      </c>
      <c r="J9" s="8">
        <f>J4+J6+J7+J8</f>
        <v/>
      </c>
      <c r="K9" s="8">
        <f>K4+K6+K7+K8</f>
        <v/>
      </c>
      <c r="L9" s="8">
        <f>L4+L6+L7+L8</f>
        <v/>
      </c>
      <c r="M9" s="8">
        <f>SUM(C9:L9)</f>
        <v/>
      </c>
    </row>
    <row r="11">
      <c r="A11" s="3" t="inlineStr">
        <is>
          <t>Storage Costs</t>
        </is>
      </c>
    </row>
    <row r="12">
      <c r="A12" t="inlineStr">
        <is>
          <t>Flash storage (NVMe)</t>
        </is>
      </c>
      <c r="B12" t="inlineStr">
        <is>
          <t>$M</t>
        </is>
      </c>
      <c r="C12" s="8">
        <f>'Ops Storage'!C51*320/1000000</f>
        <v/>
      </c>
      <c r="D12" s="8">
        <f>MAX(0,'Ops Storage'!D51-'Ops Storage'!C51)*320/1000000</f>
        <v/>
      </c>
      <c r="E12" s="8">
        <f>MAX(0,'Ops Storage'!E51-'Ops Storage'!D51)*320/1000000</f>
        <v/>
      </c>
      <c r="F12" s="8">
        <f>MAX(0,'Ops Storage'!F51-'Ops Storage'!E51)*320/1000000</f>
        <v/>
      </c>
      <c r="G12" s="8">
        <f>MAX(0,'Ops Storage'!G51-'Ops Storage'!F51)*320/1000000</f>
        <v/>
      </c>
      <c r="H12" s="8">
        <f>MAX(0,'Ops Storage'!H51-'Ops Storage'!G51)*320/1000000</f>
        <v/>
      </c>
      <c r="I12" s="8">
        <f>MAX(0,'Ops Storage'!I51-'Ops Storage'!H51)*320/1000000</f>
        <v/>
      </c>
      <c r="J12" s="8">
        <f>MAX(0,'Ops Storage'!J51-'Ops Storage'!I51)*320/1000000</f>
        <v/>
      </c>
      <c r="K12" s="8">
        <f>MAX(0,'Ops Storage'!K51-'Ops Storage'!J51)*320/1000000</f>
        <v/>
      </c>
      <c r="L12" s="8">
        <f>MAX(0,'Ops Storage'!L51-'Ops Storage'!K51)*320/1000000</f>
        <v/>
      </c>
      <c r="M12" s="8">
        <f>SUM(C12:L12)</f>
        <v/>
      </c>
    </row>
    <row r="13">
      <c r="A13" t="inlineStr">
        <is>
          <t>Normal storage (HDD)</t>
        </is>
      </c>
      <c r="B13" t="inlineStr">
        <is>
          <t>$M</t>
        </is>
      </c>
      <c r="C13" s="8">
        <f>'Ops Storage'!C53*56/1000000</f>
        <v/>
      </c>
      <c r="D13" s="8">
        <f>MAX(0,'Ops Storage'!D53-'Ops Storage'!C53)*56/1000000</f>
        <v/>
      </c>
      <c r="E13" s="8">
        <f>MAX(0,'Ops Storage'!E53-'Ops Storage'!D53)*56/1000000</f>
        <v/>
      </c>
      <c r="F13" s="8">
        <f>MAX(0,'Ops Storage'!F53-'Ops Storage'!E53)*56/1000000</f>
        <v/>
      </c>
      <c r="G13" s="8">
        <f>MAX(0,'Ops Storage'!G53-'Ops Storage'!F53)*56/1000000</f>
        <v/>
      </c>
      <c r="H13" s="8">
        <f>MAX(0,'Ops Storage'!H53-'Ops Storage'!G53)*56/1000000</f>
        <v/>
      </c>
      <c r="I13" s="8">
        <f>MAX(0,'Ops Storage'!I53-'Ops Storage'!H53)*56/1000000</f>
        <v/>
      </c>
      <c r="J13" s="8">
        <f>MAX(0,'Ops Storage'!J53-'Ops Storage'!I53)*56/1000000</f>
        <v/>
      </c>
      <c r="K13" s="8">
        <f>MAX(0,'Ops Storage'!K53-'Ops Storage'!J53)*56/1000000</f>
        <v/>
      </c>
      <c r="L13" s="8">
        <f>MAX(0,'Ops Storage'!L53-'Ops Storage'!K53)*56/1000000</f>
        <v/>
      </c>
      <c r="M13" s="8">
        <f>SUM(C13:L13)</f>
        <v/>
      </c>
    </row>
    <row r="14">
      <c r="A14" t="inlineStr">
        <is>
          <t>Object Store (latent)</t>
        </is>
      </c>
      <c r="B14" t="inlineStr">
        <is>
          <t>$M</t>
        </is>
      </c>
      <c r="C14" s="8">
        <f>'Ops Storage'!C61*36/1000000</f>
        <v/>
      </c>
      <c r="D14" s="8">
        <f>MAX(0,'Ops Storage'!D61-'Ops Storage'!C61)*36/1000000</f>
        <v/>
      </c>
      <c r="E14" s="8">
        <f>MAX(0,'Ops Storage'!E61-'Ops Storage'!D61)*36/1000000</f>
        <v/>
      </c>
      <c r="F14" s="8">
        <f>MAX(0,'Ops Storage'!F61-'Ops Storage'!E61)*36/1000000</f>
        <v/>
      </c>
      <c r="G14" s="8">
        <f>MAX(0,'Ops Storage'!G61-'Ops Storage'!F61)*36/1000000</f>
        <v/>
      </c>
      <c r="H14" s="8">
        <f>MAX(0,'Ops Storage'!H61-'Ops Storage'!G61)*36/1000000</f>
        <v/>
      </c>
      <c r="I14" s="8">
        <f>MAX(0,'Ops Storage'!I61-'Ops Storage'!H61)*36/1000000</f>
        <v/>
      </c>
      <c r="J14" s="8">
        <f>MAX(0,'Ops Storage'!J61-'Ops Storage'!I61)*36/1000000</f>
        <v/>
      </c>
      <c r="K14" s="8">
        <f>MAX(0,'Ops Storage'!K61-'Ops Storage'!J61)*36/1000000</f>
        <v/>
      </c>
      <c r="L14" s="8">
        <f>MAX(0,'Ops Storage'!L61-'Ops Storage'!K61)*36/1000000</f>
        <v/>
      </c>
      <c r="M14" s="8">
        <f>SUM(C14:L14)</f>
        <v/>
      </c>
    </row>
    <row r="15">
      <c r="A15" t="inlineStr">
        <is>
          <t>Tape storage</t>
        </is>
      </c>
      <c r="B15" t="inlineStr">
        <is>
          <t>$M</t>
        </is>
      </c>
      <c r="C15" s="8">
        <f>'Ops Storage'!C66*12.5/1000000</f>
        <v/>
      </c>
      <c r="D15" s="8">
        <f>MAX(0,'Ops Storage'!D66-'Ops Storage'!C66)*12.5/1000000</f>
        <v/>
      </c>
      <c r="E15" s="8">
        <f>MAX(0,'Ops Storage'!E66-'Ops Storage'!D66)*12.5/1000000</f>
        <v/>
      </c>
      <c r="F15" s="8">
        <f>MAX(0,'Ops Storage'!F66-'Ops Storage'!E66)*12.5/1000000</f>
        <v/>
      </c>
      <c r="G15" s="8">
        <f>MAX(0,'Ops Storage'!G66-'Ops Storage'!F66)*12.5/1000000</f>
        <v/>
      </c>
      <c r="H15" s="8">
        <f>MAX(0,'Ops Storage'!H66-'Ops Storage'!G66)*12.5/1000000</f>
        <v/>
      </c>
      <c r="I15" s="8">
        <f>MAX(0,'Ops Storage'!I66-'Ops Storage'!H66)*12.5/1000000</f>
        <v/>
      </c>
      <c r="J15" s="8">
        <f>MAX(0,'Ops Storage'!J66-'Ops Storage'!I66)*12.5/1000000</f>
        <v/>
      </c>
      <c r="K15" s="8">
        <f>MAX(0,'Ops Storage'!K66-'Ops Storage'!J66)*12.5/1000000</f>
        <v/>
      </c>
      <c r="L15" s="8">
        <f>MAX(0,'Ops Storage'!L66-'Ops Storage'!K66)*12.5/1000000</f>
        <v/>
      </c>
      <c r="M15" s="8">
        <f>SUM(C15:L15)</f>
        <v/>
      </c>
    </row>
    <row r="16">
      <c r="A16" t="inlineStr">
        <is>
          <t>Total Storage (price-adjusted)</t>
        </is>
      </c>
      <c r="B16" t="inlineStr">
        <is>
          <t>$M</t>
        </is>
      </c>
      <c r="C16" s="8">
        <f>(C12+C13+C14+C15)*POWER(1.0,2026-2026)</f>
        <v/>
      </c>
      <c r="D16" s="8">
        <f>(D12+D13+D14+D15)*POWER(1.0,2027-2026)</f>
        <v/>
      </c>
      <c r="E16" s="8">
        <f>(E12+E13+E14+E15)*POWER(1.0,2028-2026)</f>
        <v/>
      </c>
      <c r="F16" s="8">
        <f>(F12+F13+F14+F15)*POWER(1.0,2029-2026)</f>
        <v/>
      </c>
      <c r="G16" s="8">
        <f>(G12+G13+G14+G15)*POWER(1.0,2030-2026)</f>
        <v/>
      </c>
      <c r="H16" s="8">
        <f>(H12+H13+H14+H15)*POWER(1.0,2031-2026)</f>
        <v/>
      </c>
      <c r="I16" s="8">
        <f>(I12+I13+I14+I15)*POWER(1.0,2032-2026)</f>
        <v/>
      </c>
      <c r="J16" s="8">
        <f>(J12+J13+J14+J15)*POWER(1.0,2033-2026)</f>
        <v/>
      </c>
      <c r="K16" s="8">
        <f>(K12+K13+K14+K15)*POWER(1.0,2034-2026)</f>
        <v/>
      </c>
      <c r="L16" s="8">
        <f>(L12+L13+L14+L15)*POWER(1.0,2035-2026)</f>
        <v/>
      </c>
      <c r="M16" s="8">
        <f>SUM(C16:L16)</f>
        <v/>
      </c>
    </row>
    <row r="17">
      <c r="A17" s="3" t="inlineStr">
        <is>
          <t>Total Storage (base pricing)</t>
        </is>
      </c>
      <c r="B17" t="inlineStr">
        <is>
          <t>$M</t>
        </is>
      </c>
      <c r="C17" s="8">
        <f>C12+C13+C14+C15</f>
        <v/>
      </c>
      <c r="D17" s="8">
        <f>D12+D13+D14+D15</f>
        <v/>
      </c>
      <c r="E17" s="8">
        <f>E12+E13+E14+E15</f>
        <v/>
      </c>
      <c r="F17" s="8">
        <f>F12+F13+F14+F15</f>
        <v/>
      </c>
      <c r="G17" s="8">
        <f>G12+G13+G14+G15</f>
        <v/>
      </c>
      <c r="H17" s="8">
        <f>H12+H13+H14+H15</f>
        <v/>
      </c>
      <c r="I17" s="8">
        <f>I12+I13+I14+I15</f>
        <v/>
      </c>
      <c r="J17" s="8">
        <f>J12+J13+J14+J15</f>
        <v/>
      </c>
      <c r="K17" s="8">
        <f>K12+K13+K14+K15</f>
        <v/>
      </c>
      <c r="L17" s="8">
        <f>L12+L13+L14+L15</f>
        <v/>
      </c>
      <c r="M17" s="8">
        <f>SUM(C17:L17)</f>
        <v/>
      </c>
    </row>
    <row r="19">
      <c r="A19" s="3" t="inlineStr">
        <is>
          <t>Hosting &amp; Overhead</t>
        </is>
      </c>
    </row>
    <row r="20">
      <c r="A20" t="inlineStr">
        <is>
          <t>USDF hosting (nodes * $/node/yr)</t>
        </is>
      </c>
      <c r="B20" t="inlineStr">
        <is>
          <t>$M</t>
        </is>
      </c>
      <c r="C20" s="8">
        <f>CEILING('Ops Compute'!C24/'Model'!$D$4,1)*'Model'!$B$30/1000000</f>
        <v/>
      </c>
      <c r="D20" s="8">
        <f>CEILING('Ops Compute'!D24/'Model'!$D$4,1)*'Model'!$B$30/1000000</f>
        <v/>
      </c>
      <c r="E20" s="8">
        <f>CEILING('Ops Compute'!E24/'Model'!$D$4,1)*'Model'!$B$30/1000000</f>
        <v/>
      </c>
      <c r="F20" s="8">
        <f>CEILING('Ops Compute'!F24/'Model'!$D$4,1)*'Model'!$B$30/1000000</f>
        <v/>
      </c>
      <c r="G20" s="8">
        <f>CEILING('Ops Compute'!G24/'Model'!$D$4,1)*'Model'!$B$30/1000000</f>
        <v/>
      </c>
      <c r="H20" s="8">
        <f>CEILING('Ops Compute'!H24/'Model'!$D$4,1)*'Model'!$B$30/1000000</f>
        <v/>
      </c>
      <c r="I20" s="8">
        <f>CEILING('Ops Compute'!I24/'Model'!$D$4,1)*'Model'!$B$30/1000000</f>
        <v/>
      </c>
      <c r="J20" s="8">
        <f>CEILING('Ops Compute'!J24/'Model'!$D$4,1)*'Model'!$B$30/1000000</f>
        <v/>
      </c>
      <c r="K20" s="8">
        <f>CEILING('Ops Compute'!K24/'Model'!$D$4,1)*'Model'!$B$30/1000000</f>
        <v/>
      </c>
      <c r="L20" s="8">
        <f>CEILING('Ops Compute'!L24/'Model'!$D$4,1)*'Model'!$B$30/1000000</f>
        <v/>
      </c>
      <c r="M20" s="8">
        <f>SUM(C20:L20)</f>
        <v/>
      </c>
    </row>
    <row r="21">
      <c r="A21" t="inlineStr">
        <is>
          <t>Overhead (14% HW + $0.15M fixed)</t>
        </is>
      </c>
      <c r="B21" t="inlineStr">
        <is>
          <t>$M</t>
        </is>
      </c>
      <c r="C21" s="8">
        <f>0.14*(C9+C17)+0.15</f>
        <v/>
      </c>
      <c r="D21" s="8">
        <f>0.14*(D9+D17)+0.15</f>
        <v/>
      </c>
      <c r="E21" s="8">
        <f>0.14*(E9+E17)+0.15</f>
        <v/>
      </c>
      <c r="F21" s="8">
        <f>0.14*(F9+F17)+0.15</f>
        <v/>
      </c>
      <c r="G21" s="8">
        <f>0.14*(G9+G17)+0.15</f>
        <v/>
      </c>
      <c r="H21" s="8">
        <f>0.14*(H9+H17)+0.15</f>
        <v/>
      </c>
      <c r="I21" s="8">
        <f>0.14*(I9+I17)+0.15</f>
        <v/>
      </c>
      <c r="J21" s="8">
        <f>0.14*(J9+J17)+0.15</f>
        <v/>
      </c>
      <c r="K21" s="8">
        <f>0.14*(K9+K17)+0.15</f>
        <v/>
      </c>
      <c r="L21" s="8">
        <f>0.14*(L9+L17)+0.15</f>
        <v/>
      </c>
      <c r="M21" s="8">
        <f>SUM(C21:L21)</f>
        <v/>
      </c>
    </row>
    <row r="23">
      <c r="A23" s="9" t="inlineStr">
        <is>
          <t>GRAND TOTALS</t>
        </is>
      </c>
    </row>
    <row r="24">
      <c r="A24" t="inlineStr">
        <is>
          <t>Annual Total (base pricing)</t>
        </is>
      </c>
      <c r="B24" t="inlineStr">
        <is>
          <t>$M</t>
        </is>
      </c>
      <c r="C24" s="8">
        <f>C9+C17+C20+C21</f>
        <v/>
      </c>
      <c r="D24" s="8">
        <f>D9+D17+D20+D21</f>
        <v/>
      </c>
      <c r="E24" s="8">
        <f>E9+E17+E20+E21</f>
        <v/>
      </c>
      <c r="F24" s="8">
        <f>F9+F17+F20+F21</f>
        <v/>
      </c>
      <c r="G24" s="8">
        <f>G9+G17+G20+G21</f>
        <v/>
      </c>
      <c r="H24" s="8">
        <f>H9+H17+H20+H21</f>
        <v/>
      </c>
      <c r="I24" s="8">
        <f>I9+I17+I20+I21</f>
        <v/>
      </c>
      <c r="J24" s="8">
        <f>J9+J17+J20+J21</f>
        <v/>
      </c>
      <c r="K24" s="8">
        <f>K9+K17+K20+K21</f>
        <v/>
      </c>
      <c r="L24" s="8">
        <f>L9+L17+L20+L21</f>
        <v/>
      </c>
      <c r="M24" s="8">
        <f>SUM(C24:L24)</f>
        <v/>
      </c>
    </row>
    <row r="25">
      <c r="A25" t="inlineStr">
        <is>
          <t>Annual Total (price-adjusted)</t>
        </is>
      </c>
      <c r="B25" t="inlineStr">
        <is>
          <t>$M</t>
        </is>
      </c>
      <c r="C25" s="8">
        <f>C4+C6+C7+C8+C16+C20+C21</f>
        <v/>
      </c>
      <c r="D25" s="8">
        <f>D4+D6+D7+D8+D16+D20+D21</f>
        <v/>
      </c>
      <c r="E25" s="8">
        <f>E4+E6+E7+E8+E16+E20+E21</f>
        <v/>
      </c>
      <c r="F25" s="8">
        <f>F4+F6+F7+F8+F16+F20+F21</f>
        <v/>
      </c>
      <c r="G25" s="8">
        <f>G4+G6+G7+G8+G16+G20+G21</f>
        <v/>
      </c>
      <c r="H25" s="8">
        <f>H4+H6+H7+H8+H16+H20+H21</f>
        <v/>
      </c>
      <c r="I25" s="8">
        <f>I4+I6+I7+I8+I16+I20+I21</f>
        <v/>
      </c>
      <c r="J25" s="8">
        <f>J4+J6+J7+J8+J16+J20+J21</f>
        <v/>
      </c>
      <c r="K25" s="8">
        <f>K4+K6+K7+K8+K16+K20+K21</f>
        <v/>
      </c>
      <c r="L25" s="8">
        <f>L4+L6+L7+L8+L16+L20+L21</f>
        <v/>
      </c>
      <c r="M25" s="8">
        <f>SUM(C25:L25)</f>
        <v/>
      </c>
    </row>
    <row r="26">
      <c r="A26" t="inlineStr">
        <is>
          <t>Cumulative (price-adjusted)</t>
        </is>
      </c>
      <c r="B26" t="inlineStr">
        <is>
          <t>$M</t>
        </is>
      </c>
      <c r="C26" s="8">
        <f>C25</f>
        <v/>
      </c>
      <c r="D26" s="8">
        <f>C26+D25</f>
        <v/>
      </c>
      <c r="E26" s="8">
        <f>D26+E25</f>
        <v/>
      </c>
      <c r="F26" s="8">
        <f>E26+F25</f>
        <v/>
      </c>
      <c r="G26" s="8">
        <f>F26+G25</f>
        <v/>
      </c>
      <c r="H26" s="8">
        <f>G26+H25</f>
        <v/>
      </c>
      <c r="I26" s="8">
        <f>H26+I25</f>
        <v/>
      </c>
      <c r="J26" s="8">
        <f>I26+J25</f>
        <v/>
      </c>
      <c r="K26" s="8">
        <f>J26+K25</f>
        <v/>
      </c>
      <c r="L26" s="8">
        <f>K26+L25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Annual Purchase Plan — USDF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s="10" t="inlineStr">
        <is>
          <t>DP2</t>
        </is>
      </c>
      <c r="D4" t="inlineStr"/>
      <c r="E4" s="10" t="inlineStr">
        <is>
          <t>DR1</t>
        </is>
      </c>
      <c r="F4" t="inlineStr"/>
      <c r="G4" s="10" t="inlineStr">
        <is>
          <t>DR2</t>
        </is>
      </c>
      <c r="H4" t="inlineStr"/>
      <c r="I4" s="10" t="inlineStr">
        <is>
          <t>DR3</t>
        </is>
      </c>
      <c r="J4" t="inlineStr"/>
      <c r="K4" s="10" t="inlineStr">
        <is>
          <t>DR4</t>
        </is>
      </c>
      <c r="L4" t="inlineStr"/>
    </row>
    <row r="6">
      <c r="A6" s="3" t="inlineStr">
        <is>
          <t>COMPUTE PURCHASES</t>
        </is>
      </c>
    </row>
    <row r="7">
      <c r="A7" t="inlineStr">
        <is>
          <t>DRP cores needed</t>
        </is>
      </c>
      <c r="B7" t="inlineStr">
        <is>
          <t>cores</t>
        </is>
      </c>
      <c r="C7" s="5">
        <f>'Ops Compute'!C4</f>
        <v/>
      </c>
      <c r="D7" s="5">
        <f>'Ops Compute'!D4</f>
        <v/>
      </c>
      <c r="E7" s="5">
        <f>'Ops Compute'!E4</f>
        <v/>
      </c>
      <c r="F7" s="5">
        <f>'Ops Compute'!F4</f>
        <v/>
      </c>
      <c r="G7" s="5">
        <f>'Ops Compute'!G4</f>
        <v/>
      </c>
      <c r="H7" s="5">
        <f>'Ops Compute'!H4</f>
        <v/>
      </c>
      <c r="I7" s="5">
        <f>'Ops Compute'!I4</f>
        <v/>
      </c>
      <c r="J7" s="5">
        <f>'Ops Compute'!J4</f>
        <v/>
      </c>
      <c r="K7" s="5">
        <f>'Ops Compute'!K4</f>
        <v/>
      </c>
      <c r="L7" s="5">
        <f>'Ops Compute'!L4</f>
        <v/>
      </c>
    </row>
    <row r="8">
      <c r="A8" t="inlineStr">
        <is>
          <t>USDF DRP cores (100%)</t>
        </is>
      </c>
      <c r="B8" t="inlineStr">
        <is>
          <t>cores</t>
        </is>
      </c>
      <c r="C8" s="5">
        <f>C7</f>
        <v/>
      </c>
      <c r="D8" s="5">
        <f>D7</f>
        <v/>
      </c>
      <c r="E8" s="5">
        <f>E7</f>
        <v/>
      </c>
      <c r="F8" s="5">
        <f>F7</f>
        <v/>
      </c>
      <c r="G8" s="5">
        <f>G7</f>
        <v/>
      </c>
      <c r="H8" s="5">
        <f>H7</f>
        <v/>
      </c>
      <c r="I8" s="5">
        <f>I7</f>
        <v/>
      </c>
      <c r="J8" s="5">
        <f>J7</f>
        <v/>
      </c>
      <c r="K8" s="5">
        <f>K7</f>
        <v/>
      </c>
      <c r="L8" s="5">
        <f>L7</f>
        <v/>
      </c>
    </row>
    <row r="9">
      <c r="A9" t="inlineStr">
        <is>
          <t>AP cores</t>
        </is>
      </c>
      <c r="B9" t="inlineStr">
        <is>
          <t>cores</t>
        </is>
      </c>
      <c r="C9" s="5">
        <f>'Ops Compute'!C9</f>
        <v/>
      </c>
      <c r="D9" s="5">
        <f>'Ops Compute'!D9</f>
        <v/>
      </c>
      <c r="E9" s="5">
        <f>'Ops Compute'!E9</f>
        <v/>
      </c>
      <c r="F9" s="5">
        <f>'Ops Compute'!F9</f>
        <v/>
      </c>
      <c r="G9" s="5">
        <f>'Ops Compute'!G9</f>
        <v/>
      </c>
      <c r="H9" s="5">
        <f>'Ops Compute'!H9</f>
        <v/>
      </c>
      <c r="I9" s="5">
        <f>'Ops Compute'!I9</f>
        <v/>
      </c>
      <c r="J9" s="5">
        <f>'Ops Compute'!J9</f>
        <v/>
      </c>
      <c r="K9" s="5">
        <f>'Ops Compute'!K9</f>
        <v/>
      </c>
      <c r="L9" s="5">
        <f>'Ops Compute'!L9</f>
        <v/>
      </c>
    </row>
    <row r="10">
      <c r="A10" t="inlineStr">
        <is>
          <t>DAC/LSP + Staff cores</t>
        </is>
      </c>
      <c r="B10" t="inlineStr">
        <is>
          <t>cores</t>
        </is>
      </c>
      <c r="C10" s="5">
        <f>'Ops Compute'!C11+'Ops Compute'!C12</f>
        <v/>
      </c>
      <c r="D10" s="5">
        <f>'Ops Compute'!D11+'Ops Compute'!D12</f>
        <v/>
      </c>
      <c r="E10" s="5">
        <f>'Ops Compute'!E11+'Ops Compute'!E12</f>
        <v/>
      </c>
      <c r="F10" s="5">
        <f>'Ops Compute'!F11+'Ops Compute'!F12</f>
        <v/>
      </c>
      <c r="G10" s="5">
        <f>'Ops Compute'!G11+'Ops Compute'!G12</f>
        <v/>
      </c>
      <c r="H10" s="5">
        <f>'Ops Compute'!H11+'Ops Compute'!H12</f>
        <v/>
      </c>
      <c r="I10" s="5">
        <f>'Ops Compute'!I11+'Ops Compute'!I12</f>
        <v/>
      </c>
      <c r="J10" s="5">
        <f>'Ops Compute'!J11+'Ops Compute'!J12</f>
        <v/>
      </c>
      <c r="K10" s="5">
        <f>'Ops Compute'!K11+'Ops Compute'!K12</f>
        <v/>
      </c>
      <c r="L10" s="5">
        <f>'Ops Compute'!L11+'Ops Compute'!L12</f>
        <v/>
      </c>
    </row>
    <row r="11">
      <c r="A11" s="11" t="inlineStr">
        <is>
          <t>Total USDF cores needed</t>
        </is>
      </c>
      <c r="B11" t="inlineStr">
        <is>
          <t>cores</t>
        </is>
      </c>
      <c r="C11" s="5">
        <f>C8+C9+C10</f>
        <v/>
      </c>
      <c r="D11" s="5">
        <f>D8+D9+D10</f>
        <v/>
      </c>
      <c r="E11" s="5">
        <f>E8+E9+E10</f>
        <v/>
      </c>
      <c r="F11" s="5">
        <f>F8+F9+F10</f>
        <v/>
      </c>
      <c r="G11" s="5">
        <f>G8+G9+G10</f>
        <v/>
      </c>
      <c r="H11" s="5">
        <f>H8+H9+H10</f>
        <v/>
      </c>
      <c r="I11" s="5">
        <f>I8+I9+I10</f>
        <v/>
      </c>
      <c r="J11" s="5">
        <f>J8+J9+J10</f>
        <v/>
      </c>
      <c r="K11" s="5">
        <f>K8+K9+K10</f>
        <v/>
      </c>
      <c r="L11" s="5">
        <f>L8+L9+L10</f>
        <v/>
      </c>
    </row>
    <row r="12">
      <c r="A12" t="inlineStr">
        <is>
          <t>Cumulative cores available</t>
        </is>
      </c>
      <c r="B12" t="inlineStr">
        <is>
          <t>cores</t>
        </is>
      </c>
      <c r="C12" s="5">
        <f>7600+MAX(0,C14)</f>
        <v/>
      </c>
      <c r="D12" s="5">
        <f>C12+MAX(0,D14)</f>
        <v/>
      </c>
      <c r="E12" s="5">
        <f>D12+MAX(0,E14)</f>
        <v/>
      </c>
      <c r="F12" s="5">
        <f>E12+MAX(0,F14)</f>
        <v/>
      </c>
      <c r="G12" s="5">
        <f>F12+MAX(0,G14)</f>
        <v/>
      </c>
      <c r="H12" s="5">
        <f>G12+MAX(0,H14)</f>
        <v/>
      </c>
      <c r="I12" s="5">
        <f>H12+MAX(0,I14)</f>
        <v/>
      </c>
      <c r="J12" s="5">
        <f>I12+MAX(0,J14)</f>
        <v/>
      </c>
      <c r="K12" s="5">
        <f>J12+MAX(0,K14)</f>
        <v/>
      </c>
      <c r="L12" s="5">
        <f>K12+MAX(0,L14)</f>
        <v/>
      </c>
    </row>
    <row r="13">
      <c r="A13" t="inlineStr">
        <is>
          <t>Compute gap (need − available)</t>
        </is>
      </c>
      <c r="B13" t="inlineStr">
        <is>
          <t>cores</t>
        </is>
      </c>
      <c r="C13" s="5">
        <f>C11-C12</f>
        <v/>
      </c>
      <c r="D13" s="5">
        <f>D11-D12</f>
        <v/>
      </c>
      <c r="E13" s="5">
        <f>E11-E12</f>
        <v/>
      </c>
      <c r="F13" s="5">
        <f>F11-F12</f>
        <v/>
      </c>
      <c r="G13" s="5">
        <f>G11-G12</f>
        <v/>
      </c>
      <c r="H13" s="5">
        <f>H11-H12</f>
        <v/>
      </c>
      <c r="I13" s="5">
        <f>I11-I12</f>
        <v/>
      </c>
      <c r="J13" s="5">
        <f>J11-J12</f>
        <v/>
      </c>
      <c r="K13" s="5">
        <f>K11-K12</f>
        <v/>
      </c>
      <c r="L13" s="5">
        <f>L11-L12</f>
        <v/>
      </c>
    </row>
    <row r="14">
      <c r="A14" t="inlineStr">
        <is>
          <t>Batch cores to purchase</t>
        </is>
      </c>
      <c r="B14" t="inlineStr">
        <is>
          <t>cores</t>
        </is>
      </c>
      <c r="C14" s="5">
        <f>MAX(0,C11-7600)</f>
        <v/>
      </c>
      <c r="D14" s="5">
        <f>MAX(0,D11-C12)</f>
        <v/>
      </c>
      <c r="E14" s="5">
        <f>MAX(0,E11-D12)</f>
        <v/>
      </c>
      <c r="F14" s="5">
        <f>MAX(0,F11-E12)+C14</f>
        <v/>
      </c>
      <c r="G14" s="5">
        <f>MAX(0,G11-F12)+D14</f>
        <v/>
      </c>
      <c r="H14" s="5">
        <f>MAX(0,H11-G12)+E14</f>
        <v/>
      </c>
      <c r="I14" s="5">
        <f>MAX(0,I11-H12)+F14</f>
        <v/>
      </c>
      <c r="J14" s="5">
        <f>MAX(0,J11-I12)+G14</f>
        <v/>
      </c>
      <c r="K14" s="5">
        <f>MAX(0,K11-J12)+H14</f>
        <v/>
      </c>
      <c r="L14" s="5">
        <f>MAX(0,L11-K12)+I14</f>
        <v/>
      </c>
    </row>
    <row r="15">
      <c r="A15" t="inlineStr">
        <is>
          <t>Batch nodes to purchase</t>
        </is>
      </c>
      <c r="B15" t="inlineStr">
        <is>
          <t>nodes</t>
        </is>
      </c>
      <c r="C15" s="5">
        <f>CEILING(MAX(0,C14)/120,1)</f>
        <v/>
      </c>
      <c r="D15" s="5">
        <f>CEILING(MAX(0,D14)/120,1)</f>
        <v/>
      </c>
      <c r="E15" s="5">
        <f>CEILING(MAX(0,E14)/120,1)</f>
        <v/>
      </c>
      <c r="F15" s="5">
        <f>CEILING(MAX(0,F14)/120,1)</f>
        <v/>
      </c>
      <c r="G15" s="5">
        <f>CEILING(MAX(0,G14)/120,1)</f>
        <v/>
      </c>
      <c r="H15" s="5">
        <f>CEILING(MAX(0,H14)/120,1)</f>
        <v/>
      </c>
      <c r="I15" s="5">
        <f>CEILING(MAX(0,I14)/120,1)</f>
        <v/>
      </c>
      <c r="J15" s="5">
        <f>CEILING(MAX(0,J14)/120,1)</f>
        <v/>
      </c>
      <c r="K15" s="5">
        <f>CEILING(MAX(0,K14)/120,1)</f>
        <v/>
      </c>
      <c r="L15" s="5">
        <f>CEILING(MAX(0,L14)/120,1)</f>
        <v/>
      </c>
    </row>
    <row r="16">
      <c r="A16" t="inlineStr">
        <is>
          <t>K8s nodes needed</t>
        </is>
      </c>
      <c r="B16" t="inlineStr">
        <is>
          <t>nodes</t>
        </is>
      </c>
      <c r="C16" s="5" t="n">
        <v>75</v>
      </c>
      <c r="D16" s="5" t="n">
        <v>79</v>
      </c>
      <c r="E16" s="5" t="n">
        <v>83</v>
      </c>
      <c r="F16" s="5" t="n">
        <v>87</v>
      </c>
      <c r="G16" s="5" t="n">
        <v>91</v>
      </c>
      <c r="H16" s="5" t="n">
        <v>96</v>
      </c>
      <c r="I16" s="5" t="n">
        <v>101</v>
      </c>
      <c r="J16" s="5" t="n">
        <v>106</v>
      </c>
      <c r="K16" s="5" t="n">
        <v>111</v>
      </c>
      <c r="L16" s="5" t="n">
        <v>116</v>
      </c>
    </row>
    <row r="17">
      <c r="A17" t="inlineStr">
        <is>
          <t>K8s incremental purchase</t>
        </is>
      </c>
      <c r="B17" t="inlineStr">
        <is>
          <t>nodes</t>
        </is>
      </c>
      <c r="C17" s="5" t="n">
        <v>0</v>
      </c>
      <c r="D17" s="5">
        <f>MAX(0,D16-C16)</f>
        <v/>
      </c>
      <c r="E17" s="5">
        <f>MAX(0,E16-D16)</f>
        <v/>
      </c>
      <c r="F17" s="5">
        <f>MAX(0,F16-E16)</f>
        <v/>
      </c>
      <c r="G17" s="5">
        <f>MAX(0,G16-F16)</f>
        <v/>
      </c>
      <c r="H17" s="5">
        <f>MAX(0,H16-G16)</f>
        <v/>
      </c>
      <c r="I17" s="5">
        <f>MAX(0,I16-H16)</f>
        <v/>
      </c>
      <c r="J17" s="5">
        <f>MAX(0,J16-I16)</f>
        <v/>
      </c>
      <c r="K17" s="5">
        <f>MAX(0,K16-J16)</f>
        <v/>
      </c>
      <c r="L17" s="5">
        <f>MAX(0,L16-K16)</f>
        <v/>
      </c>
    </row>
    <row r="18">
      <c r="A18" t="inlineStr">
        <is>
          <t>Qserv nodes incremental</t>
        </is>
      </c>
      <c r="B18" t="inlineStr">
        <is>
          <t>nodes</t>
        </is>
      </c>
      <c r="C18" s="5">
        <f>MAX(0,'Ops Compute'!C16-92)</f>
        <v/>
      </c>
      <c r="D18" s="5">
        <f>MAX(0,'Ops Compute'!D16-'Ops Compute'!C16)</f>
        <v/>
      </c>
      <c r="E18" s="5">
        <f>MAX(0,'Ops Compute'!E16-'Ops Compute'!D16)</f>
        <v/>
      </c>
      <c r="F18" s="5">
        <f>MAX(0,'Ops Compute'!F16-'Ops Compute'!E16)</f>
        <v/>
      </c>
      <c r="G18" s="5">
        <f>MAX(0,'Ops Compute'!G16-'Ops Compute'!F16)</f>
        <v/>
      </c>
      <c r="H18" s="5">
        <f>MAX(0,'Ops Compute'!H16-'Ops Compute'!G16)</f>
        <v/>
      </c>
      <c r="I18" s="5">
        <f>MAX(0,'Ops Compute'!I16-'Ops Compute'!H16)</f>
        <v/>
      </c>
      <c r="J18" s="5">
        <f>MAX(0,'Ops Compute'!J16-'Ops Compute'!I16)</f>
        <v/>
      </c>
      <c r="K18" s="5">
        <f>MAX(0,'Ops Compute'!K16-'Ops Compute'!J16)</f>
        <v/>
      </c>
      <c r="L18" s="5">
        <f>MAX(0,'Ops Compute'!L16-'Ops Compute'!K16)</f>
        <v/>
      </c>
    </row>
    <row r="20">
      <c r="A20" s="3" t="inlineStr">
        <is>
          <t>STORAGE PURCHASES (by tier)</t>
        </is>
      </c>
    </row>
    <row r="21">
      <c r="A21" t="inlineStr">
        <is>
          <t>Flash (NVMe) on floor</t>
        </is>
      </c>
      <c r="B21" t="inlineStr">
        <is>
          <t>TB</t>
        </is>
      </c>
      <c r="C21" s="6">
        <f>'Ops Storage'!C51</f>
        <v/>
      </c>
      <c r="D21" s="6">
        <f>'Ops Storage'!D51</f>
        <v/>
      </c>
      <c r="E21" s="6">
        <f>'Ops Storage'!E51</f>
        <v/>
      </c>
      <c r="F21" s="6">
        <f>'Ops Storage'!F51</f>
        <v/>
      </c>
      <c r="G21" s="6">
        <f>'Ops Storage'!G51</f>
        <v/>
      </c>
      <c r="H21" s="6">
        <f>'Ops Storage'!H51</f>
        <v/>
      </c>
      <c r="I21" s="6">
        <f>'Ops Storage'!I51</f>
        <v/>
      </c>
      <c r="J21" s="6">
        <f>'Ops Storage'!J51</f>
        <v/>
      </c>
      <c r="K21" s="6">
        <f>'Ops Storage'!K51</f>
        <v/>
      </c>
      <c r="L21" s="6">
        <f>'Ops Storage'!L51</f>
        <v/>
      </c>
    </row>
    <row r="22">
      <c r="A22" t="inlineStr">
        <is>
          <t>Flash (NVMe) incremental purchase</t>
        </is>
      </c>
      <c r="B22" t="inlineStr">
        <is>
          <t>TB</t>
        </is>
      </c>
      <c r="C22" s="6">
        <f>C21</f>
        <v/>
      </c>
      <c r="D22" s="6">
        <f>MAX(0,D21-C21)</f>
        <v/>
      </c>
      <c r="E22" s="6">
        <f>MAX(0,E21-D21)</f>
        <v/>
      </c>
      <c r="F22" s="6">
        <f>MAX(0,F21-E21)</f>
        <v/>
      </c>
      <c r="G22" s="6">
        <f>MAX(0,G21-F21)</f>
        <v/>
      </c>
      <c r="H22" s="6">
        <f>MAX(0,H21-G21)</f>
        <v/>
      </c>
      <c r="I22" s="6">
        <f>MAX(0,I21-H21)</f>
        <v/>
      </c>
      <c r="J22" s="6">
        <f>MAX(0,J21-I21)</f>
        <v/>
      </c>
      <c r="K22" s="6">
        <f>MAX(0,K21-J21)</f>
        <v/>
      </c>
      <c r="L22" s="6">
        <f>MAX(0,L21-K21)</f>
        <v/>
      </c>
    </row>
    <row r="23">
      <c r="A23" t="inlineStr">
        <is>
          <t>Normal HDD on floor</t>
        </is>
      </c>
      <c r="B23" t="inlineStr">
        <is>
          <t>TB</t>
        </is>
      </c>
      <c r="C23" s="6">
        <f>'Ops Storage'!C53</f>
        <v/>
      </c>
      <c r="D23" s="6">
        <f>'Ops Storage'!D53</f>
        <v/>
      </c>
      <c r="E23" s="6">
        <f>'Ops Storage'!E53</f>
        <v/>
      </c>
      <c r="F23" s="6">
        <f>'Ops Storage'!F53</f>
        <v/>
      </c>
      <c r="G23" s="6">
        <f>'Ops Storage'!G53</f>
        <v/>
      </c>
      <c r="H23" s="6">
        <f>'Ops Storage'!H53</f>
        <v/>
      </c>
      <c r="I23" s="6">
        <f>'Ops Storage'!I53</f>
        <v/>
      </c>
      <c r="J23" s="6">
        <f>'Ops Storage'!J53</f>
        <v/>
      </c>
      <c r="K23" s="6">
        <f>'Ops Storage'!K53</f>
        <v/>
      </c>
      <c r="L23" s="6">
        <f>'Ops Storage'!L53</f>
        <v/>
      </c>
    </row>
    <row r="24">
      <c r="A24" t="inlineStr">
        <is>
          <t>Normal HDD incremental purchase</t>
        </is>
      </c>
      <c r="B24" t="inlineStr">
        <is>
          <t>TB</t>
        </is>
      </c>
      <c r="C24" s="6">
        <f>C23</f>
        <v/>
      </c>
      <c r="D24" s="6">
        <f>MAX(0,D23-C23)</f>
        <v/>
      </c>
      <c r="E24" s="6">
        <f>MAX(0,E23-D23)</f>
        <v/>
      </c>
      <c r="F24" s="6">
        <f>MAX(0,F23-E23)</f>
        <v/>
      </c>
      <c r="G24" s="6">
        <f>MAX(0,G23-F23)</f>
        <v/>
      </c>
      <c r="H24" s="6">
        <f>MAX(0,H23-G23)</f>
        <v/>
      </c>
      <c r="I24" s="6">
        <f>MAX(0,I23-H23)</f>
        <v/>
      </c>
      <c r="J24" s="6">
        <f>MAX(0,J23-I23)</f>
        <v/>
      </c>
      <c r="K24" s="6">
        <f>MAX(0,K23-J23)</f>
        <v/>
      </c>
      <c r="L24" s="6">
        <f>MAX(0,L23-K23)</f>
        <v/>
      </c>
    </row>
    <row r="25">
      <c r="A25" t="inlineStr">
        <is>
          <t>Object Store on floor</t>
        </is>
      </c>
      <c r="B25" t="inlineStr">
        <is>
          <t>TB</t>
        </is>
      </c>
      <c r="C25" s="6">
        <f>'Ops Storage'!C61</f>
        <v/>
      </c>
      <c r="D25" s="6">
        <f>'Ops Storage'!D61</f>
        <v/>
      </c>
      <c r="E25" s="6">
        <f>'Ops Storage'!E61</f>
        <v/>
      </c>
      <c r="F25" s="6">
        <f>'Ops Storage'!F61</f>
        <v/>
      </c>
      <c r="G25" s="6">
        <f>'Ops Storage'!G61</f>
        <v/>
      </c>
      <c r="H25" s="6">
        <f>'Ops Storage'!H61</f>
        <v/>
      </c>
      <c r="I25" s="6">
        <f>'Ops Storage'!I61</f>
        <v/>
      </c>
      <c r="J25" s="6">
        <f>'Ops Storage'!J61</f>
        <v/>
      </c>
      <c r="K25" s="6">
        <f>'Ops Storage'!K61</f>
        <v/>
      </c>
      <c r="L25" s="6">
        <f>'Ops Storage'!L61</f>
        <v/>
      </c>
    </row>
    <row r="26">
      <c r="A26" t="inlineStr">
        <is>
          <t>Object Store incremental purchase</t>
        </is>
      </c>
      <c r="B26" t="inlineStr">
        <is>
          <t>TB</t>
        </is>
      </c>
      <c r="C26" s="6">
        <f>C25</f>
        <v/>
      </c>
      <c r="D26" s="6">
        <f>MAX(0,D25-C25)</f>
        <v/>
      </c>
      <c r="E26" s="6">
        <f>MAX(0,E25-D25)</f>
        <v/>
      </c>
      <c r="F26" s="6">
        <f>MAX(0,F25-E25)</f>
        <v/>
      </c>
      <c r="G26" s="6">
        <f>MAX(0,G25-F25)</f>
        <v/>
      </c>
      <c r="H26" s="6">
        <f>MAX(0,H25-G25)</f>
        <v/>
      </c>
      <c r="I26" s="6">
        <f>MAX(0,I25-H25)</f>
        <v/>
      </c>
      <c r="J26" s="6">
        <f>MAX(0,J25-I25)</f>
        <v/>
      </c>
      <c r="K26" s="6">
        <f>MAX(0,K25-J25)</f>
        <v/>
      </c>
      <c r="L26" s="6">
        <f>MAX(0,L25-K25)</f>
        <v/>
      </c>
    </row>
    <row r="27">
      <c r="A27" t="inlineStr">
        <is>
          <t>Qserv on floor</t>
        </is>
      </c>
      <c r="B27" t="inlineStr">
        <is>
          <t>TB</t>
        </is>
      </c>
      <c r="C27" s="6">
        <f>'Ops Storage'!C55</f>
        <v/>
      </c>
      <c r="D27" s="6">
        <f>'Ops Storage'!D55</f>
        <v/>
      </c>
      <c r="E27" s="6">
        <f>'Ops Storage'!E55</f>
        <v/>
      </c>
      <c r="F27" s="6">
        <f>'Ops Storage'!F55</f>
        <v/>
      </c>
      <c r="G27" s="6">
        <f>'Ops Storage'!G55</f>
        <v/>
      </c>
      <c r="H27" s="6">
        <f>'Ops Storage'!H55</f>
        <v/>
      </c>
      <c r="I27" s="6">
        <f>'Ops Storage'!I55</f>
        <v/>
      </c>
      <c r="J27" s="6">
        <f>'Ops Storage'!J55</f>
        <v/>
      </c>
      <c r="K27" s="6">
        <f>'Ops Storage'!K55</f>
        <v/>
      </c>
      <c r="L27" s="6">
        <f>'Ops Storage'!L55</f>
        <v/>
      </c>
    </row>
    <row r="28">
      <c r="A28" t="inlineStr">
        <is>
          <t>Qserv incremental purchase</t>
        </is>
      </c>
      <c r="B28" t="inlineStr">
        <is>
          <t>TB</t>
        </is>
      </c>
      <c r="C28" s="6">
        <f>C27</f>
        <v/>
      </c>
      <c r="D28" s="6">
        <f>MAX(0,D27-C27)</f>
        <v/>
      </c>
      <c r="E28" s="6">
        <f>MAX(0,E27-D27)</f>
        <v/>
      </c>
      <c r="F28" s="6">
        <f>MAX(0,F27-E27)</f>
        <v/>
      </c>
      <c r="G28" s="6">
        <f>MAX(0,G27-F27)</f>
        <v/>
      </c>
      <c r="H28" s="6">
        <f>MAX(0,H27-G27)</f>
        <v/>
      </c>
      <c r="I28" s="6">
        <f>MAX(0,I27-H27)</f>
        <v/>
      </c>
      <c r="J28" s="6">
        <f>MAX(0,J27-I27)</f>
        <v/>
      </c>
      <c r="K28" s="6">
        <f>MAX(0,K27-J27)</f>
        <v/>
      </c>
      <c r="L28" s="6">
        <f>MAX(0,L27-K27)</f>
        <v/>
      </c>
    </row>
    <row r="30">
      <c r="A30" s="11" t="inlineStr">
        <is>
          <t>ONLINE total on floor (hot+warm)</t>
        </is>
      </c>
      <c r="B30" t="inlineStr">
        <is>
          <t>TB</t>
        </is>
      </c>
      <c r="C30" s="6">
        <f>C21+C23+C25+C27</f>
        <v/>
      </c>
      <c r="D30" s="6">
        <f>D21+D23+D25+D27</f>
        <v/>
      </c>
      <c r="E30" s="6">
        <f>E21+E23+E25+E27</f>
        <v/>
      </c>
      <c r="F30" s="6">
        <f>F21+F23+F25+F27</f>
        <v/>
      </c>
      <c r="G30" s="6">
        <f>G21+G23+G25+G27</f>
        <v/>
      </c>
      <c r="H30" s="6">
        <f>H21+H23+H25+H27</f>
        <v/>
      </c>
      <c r="I30" s="6">
        <f>I21+I23+I25+I27</f>
        <v/>
      </c>
      <c r="J30" s="6">
        <f>J21+J23+J25+J27</f>
        <v/>
      </c>
      <c r="K30" s="6">
        <f>K21+K23+K25+K27</f>
        <v/>
      </c>
      <c r="L30" s="6">
        <f>L21+L23+L25+L27</f>
        <v/>
      </c>
    </row>
    <row r="31">
      <c r="A31" t="inlineStr">
        <is>
          <t>Online available (installed + purchases)</t>
        </is>
      </c>
      <c r="B31" t="inlineStr">
        <is>
          <t>TB</t>
        </is>
      </c>
      <c r="C31" s="6">
        <f>30000+C32</f>
        <v/>
      </c>
      <c r="D31" s="6">
        <f>C31+D32</f>
        <v/>
      </c>
      <c r="E31" s="6">
        <f>D31+E32</f>
        <v/>
      </c>
      <c r="F31" s="6">
        <f>E31+F32</f>
        <v/>
      </c>
      <c r="G31" s="6">
        <f>F31+G32</f>
        <v/>
      </c>
      <c r="H31" s="6">
        <f>G31+H32</f>
        <v/>
      </c>
      <c r="I31" s="6">
        <f>H31+I32</f>
        <v/>
      </c>
      <c r="J31" s="6">
        <f>I31+J32</f>
        <v/>
      </c>
      <c r="K31" s="6">
        <f>J31+K32</f>
        <v/>
      </c>
      <c r="L31" s="6">
        <f>K31+L32</f>
        <v/>
      </c>
    </row>
    <row r="32">
      <c r="A32" s="11" t="inlineStr">
        <is>
          <t>Online purchase (hot+warm)</t>
        </is>
      </c>
      <c r="B32" t="inlineStr">
        <is>
          <t>TB</t>
        </is>
      </c>
      <c r="C32" s="6">
        <f>MAX(0,C30-30000)</f>
        <v/>
      </c>
      <c r="D32" s="6">
        <f>MAX(0,D30-C31)</f>
        <v/>
      </c>
      <c r="E32" s="6">
        <f>MAX(0,E30-D31)</f>
        <v/>
      </c>
      <c r="F32" s="6">
        <f>MAX(0,F30-E31)</f>
        <v/>
      </c>
      <c r="G32" s="6">
        <f>MAX(0,G30-F31)</f>
        <v/>
      </c>
      <c r="H32" s="6">
        <f>MAX(0,H30-G31)</f>
        <v/>
      </c>
      <c r="I32" s="6">
        <f>MAX(0,I30-H31)</f>
        <v/>
      </c>
      <c r="J32" s="6">
        <f>MAX(0,J30-I31)</f>
        <v/>
      </c>
      <c r="K32" s="6">
        <f>MAX(0,K30-J31)</f>
        <v/>
      </c>
      <c r="L32" s="6">
        <f>MAX(0,L30-K31)</f>
        <v/>
      </c>
    </row>
    <row r="33">
      <c r="A33" t="inlineStr">
        <is>
          <t>Online purchase (PB)</t>
        </is>
      </c>
      <c r="B33" t="inlineStr">
        <is>
          <t>PB</t>
        </is>
      </c>
      <c r="C33" s="6">
        <f>C32/1000</f>
        <v/>
      </c>
      <c r="D33" s="6">
        <f>D32/1000</f>
        <v/>
      </c>
      <c r="E33" s="6">
        <f>E32/1000</f>
        <v/>
      </c>
      <c r="F33" s="6">
        <f>F32/1000</f>
        <v/>
      </c>
      <c r="G33" s="6">
        <f>G32/1000</f>
        <v/>
      </c>
      <c r="H33" s="6">
        <f>H32/1000</f>
        <v/>
      </c>
      <c r="I33" s="6">
        <f>I32/1000</f>
        <v/>
      </c>
      <c r="J33" s="6">
        <f>J32/1000</f>
        <v/>
      </c>
      <c r="K33" s="6">
        <f>K32/1000</f>
        <v/>
      </c>
      <c r="L33" s="6">
        <f>L32/1000</f>
        <v/>
      </c>
    </row>
    <row r="35">
      <c r="A35" t="inlineStr">
        <is>
          <t>Tape on floor</t>
        </is>
      </c>
      <c r="B35" t="inlineStr">
        <is>
          <t>TB</t>
        </is>
      </c>
      <c r="C35" s="6">
        <f>'Ops Storage'!C66</f>
        <v/>
      </c>
      <c r="D35" s="6">
        <f>'Ops Storage'!D66</f>
        <v/>
      </c>
      <c r="E35" s="6">
        <f>'Ops Storage'!E66</f>
        <v/>
      </c>
      <c r="F35" s="6">
        <f>'Ops Storage'!F66</f>
        <v/>
      </c>
      <c r="G35" s="6">
        <f>'Ops Storage'!G66</f>
        <v/>
      </c>
      <c r="H35" s="6">
        <f>'Ops Storage'!H66</f>
        <v/>
      </c>
      <c r="I35" s="6">
        <f>'Ops Storage'!I66</f>
        <v/>
      </c>
      <c r="J35" s="6">
        <f>'Ops Storage'!J66</f>
        <v/>
      </c>
      <c r="K35" s="6">
        <f>'Ops Storage'!K66</f>
        <v/>
      </c>
      <c r="L35" s="6">
        <f>'Ops Storage'!L66</f>
        <v/>
      </c>
    </row>
    <row r="36">
      <c r="A36" s="11" t="inlineStr">
        <is>
          <t>Tape incremental purchase</t>
        </is>
      </c>
      <c r="B36" t="inlineStr">
        <is>
          <t>TB</t>
        </is>
      </c>
      <c r="C36" s="6">
        <f>C35</f>
        <v/>
      </c>
      <c r="D36" s="6">
        <f>MAX(0,D35-C35)</f>
        <v/>
      </c>
      <c r="E36" s="6">
        <f>MAX(0,E35-D35)</f>
        <v/>
      </c>
      <c r="F36" s="6">
        <f>MAX(0,F35-E35)</f>
        <v/>
      </c>
      <c r="G36" s="6">
        <f>MAX(0,G35-F35)</f>
        <v/>
      </c>
      <c r="H36" s="6">
        <f>MAX(0,H35-G35)</f>
        <v/>
      </c>
      <c r="I36" s="6">
        <f>MAX(0,I35-H35)</f>
        <v/>
      </c>
      <c r="J36" s="6">
        <f>MAX(0,J35-I35)</f>
        <v/>
      </c>
      <c r="K36" s="6">
        <f>MAX(0,K35-J35)</f>
        <v/>
      </c>
      <c r="L36" s="6">
        <f>MAX(0,L35-K35)</f>
        <v/>
      </c>
    </row>
    <row r="37">
      <c r="A37" t="inlineStr">
        <is>
          <t>Tape purchase (PB)</t>
        </is>
      </c>
      <c r="B37" t="inlineStr">
        <is>
          <t>PB</t>
        </is>
      </c>
      <c r="C37" s="6">
        <f>C36/1000</f>
        <v/>
      </c>
      <c r="D37" s="6">
        <f>D36/1000</f>
        <v/>
      </c>
      <c r="E37" s="6">
        <f>E36/1000</f>
        <v/>
      </c>
      <c r="F37" s="6">
        <f>F36/1000</f>
        <v/>
      </c>
      <c r="G37" s="6">
        <f>G36/1000</f>
        <v/>
      </c>
      <c r="H37" s="6">
        <f>H36/1000</f>
        <v/>
      </c>
      <c r="I37" s="6">
        <f>I36/1000</f>
        <v/>
      </c>
      <c r="J37" s="6">
        <f>J36/1000</f>
        <v/>
      </c>
      <c r="K37" s="6">
        <f>K36/1000</f>
        <v/>
      </c>
      <c r="L37" s="6">
        <f>L36/1000</f>
        <v/>
      </c>
    </row>
    <row r="39">
      <c r="A39" s="12" t="inlineStr">
        <is>
          <t>TOTAL storage purchase (TB)</t>
        </is>
      </c>
      <c r="B39" t="inlineStr">
        <is>
          <t>TB</t>
        </is>
      </c>
      <c r="C39" s="6">
        <f>C32+C36</f>
        <v/>
      </c>
      <c r="D39" s="6">
        <f>D32+D36</f>
        <v/>
      </c>
      <c r="E39" s="6">
        <f>E32+E36</f>
        <v/>
      </c>
      <c r="F39" s="6">
        <f>F32+F36</f>
        <v/>
      </c>
      <c r="G39" s="6">
        <f>G32+G36</f>
        <v/>
      </c>
      <c r="H39" s="6">
        <f>H32+H36</f>
        <v/>
      </c>
      <c r="I39" s="6">
        <f>I32+I36</f>
        <v/>
      </c>
      <c r="J39" s="6">
        <f>J32+J36</f>
        <v/>
      </c>
      <c r="K39" s="6">
        <f>K32+K36</f>
        <v/>
      </c>
      <c r="L39" s="6">
        <f>L32+L36</f>
        <v/>
      </c>
    </row>
    <row r="40">
      <c r="A40" t="inlineStr">
        <is>
          <t>TOTAL storage purchase (PB)</t>
        </is>
      </c>
      <c r="B40" t="inlineStr">
        <is>
          <t>PB</t>
        </is>
      </c>
      <c r="C40" s="6">
        <f>C39/1000</f>
        <v/>
      </c>
      <c r="D40" s="6">
        <f>D39/1000</f>
        <v/>
      </c>
      <c r="E40" s="6">
        <f>E39/1000</f>
        <v/>
      </c>
      <c r="F40" s="6">
        <f>F39/1000</f>
        <v/>
      </c>
      <c r="G40" s="6">
        <f>G39/1000</f>
        <v/>
      </c>
      <c r="H40" s="6">
        <f>H39/1000</f>
        <v/>
      </c>
      <c r="I40" s="6">
        <f>I39/1000</f>
        <v/>
      </c>
      <c r="J40" s="6">
        <f>J39/1000</f>
        <v/>
      </c>
      <c r="K40" s="6">
        <f>K39/1000</f>
        <v/>
      </c>
      <c r="L40" s="6">
        <f>L39/1000</f>
        <v/>
      </c>
    </row>
    <row r="42">
      <c r="A42" s="9" t="inlineStr">
        <is>
          <t>LOY1 (FY2026) — CURRENT YEAR DETAIL</t>
        </is>
      </c>
    </row>
    <row r="43">
      <c r="A43" t="inlineStr">
        <is>
          <t>Months elapsed in FY</t>
        </is>
      </c>
      <c r="B43" t="n">
        <v>3</v>
      </c>
    </row>
    <row r="44">
      <c r="A44" t="inlineStr">
        <is>
          <t>Months remaining</t>
        </is>
      </c>
      <c r="B44" t="n">
        <v>9</v>
      </c>
    </row>
    <row r="45">
      <c r="A45" t="inlineStr">
        <is>
          <t>Currently running</t>
        </is>
      </c>
      <c r="B45" t="inlineStr">
        <is>
          <t>DP2 (10% of DR1)</t>
        </is>
      </c>
    </row>
    <row r="47">
      <c r="A47" t="inlineStr">
        <is>
          <t>DP2 compute (core-hours)</t>
        </is>
      </c>
      <c r="B47" s="5">
        <f>ROUND('Ops Compute'!C3*0.1,0)</f>
        <v/>
      </c>
    </row>
    <row r="48">
      <c r="A48" t="inlineStr">
        <is>
          <t>DP2 cores needed</t>
        </is>
      </c>
      <c r="B48" s="5">
        <f>ROUND(B47/4800,0)</f>
        <v/>
      </c>
    </row>
    <row r="49">
      <c r="A49" t="inlineStr">
        <is>
          <t>Existing batch cores</t>
        </is>
      </c>
      <c r="B49" s="5" t="n">
        <v>7600</v>
      </c>
    </row>
    <row r="50">
      <c r="A50" t="inlineStr">
        <is>
          <t>Compute status for LOY1</t>
        </is>
      </c>
      <c r="B50">
        <f>IF(B49&gt;=B48,"Sufficient — no purchase needed","Gap: "&amp;TEXT(B48-B49,"#,##0")&amp;" cores")</f>
        <v/>
      </c>
    </row>
    <row r="52">
      <c r="A52" t="inlineStr">
        <is>
          <t>Storage installed (online, PB)</t>
        </is>
      </c>
      <c r="B52" t="n">
        <v>30</v>
      </c>
    </row>
    <row r="53">
      <c r="A53" t="inlineStr">
        <is>
          <t>LOY1 online storage needed (TB)</t>
        </is>
      </c>
      <c r="B53" s="6">
        <f>C30</f>
        <v/>
      </c>
    </row>
    <row r="54">
      <c r="A54" t="inlineStr">
        <is>
          <t>LOY1 online purchase needed (TB)</t>
        </is>
      </c>
      <c r="B54" s="6">
        <f>C32</f>
        <v/>
      </c>
    </row>
    <row r="55">
      <c r="A55" t="inlineStr">
        <is>
          <t>LOY1 online purchase needed (PB)</t>
        </is>
      </c>
      <c r="B55" s="13">
        <f>B54/1000</f>
        <v/>
      </c>
    </row>
    <row r="56">
      <c r="A56" t="inlineStr">
        <is>
          <t>LOY1 tape purchase needed (TB)</t>
        </is>
      </c>
      <c r="B56" s="6">
        <f>C36</f>
        <v/>
      </c>
    </row>
    <row r="58">
      <c r="A58" s="14" t="inlineStr">
        <is>
          <t>Purchase summary for FY2026 cycle:</t>
        </is>
      </c>
    </row>
    <row r="59">
      <c r="A59" t="inlineStr">
        <is>
          <t xml:space="preserve">  Batch compute nodes</t>
        </is>
      </c>
      <c r="B59">
        <f>C15</f>
        <v/>
      </c>
    </row>
    <row r="60">
      <c r="A60" t="inlineStr">
        <is>
          <t xml:space="preserve">  K8s nodes</t>
        </is>
      </c>
      <c r="B60">
        <f>C17</f>
        <v/>
      </c>
    </row>
    <row r="61">
      <c r="A61" t="inlineStr">
        <is>
          <t xml:space="preserve">  Qserv nodes</t>
        </is>
      </c>
      <c r="B61">
        <f>C18</f>
        <v/>
      </c>
    </row>
    <row r="62">
      <c r="A62" t="inlineStr">
        <is>
          <t xml:space="preserve">  Online storage (PB)</t>
        </is>
      </c>
      <c r="B62" s="13">
        <f>B55</f>
        <v/>
      </c>
    </row>
    <row r="63">
      <c r="A63" t="inlineStr">
        <is>
          <t xml:space="preserve">  Tape storage (PB)</t>
        </is>
      </c>
      <c r="B63" s="13">
        <f>B56/1000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International DRP Compute Sharing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t="inlineStr">
        <is>
          <t>DP2</t>
        </is>
      </c>
      <c r="D4" t="inlineStr"/>
      <c r="E4" t="inlineStr">
        <is>
          <t>DR1</t>
        </is>
      </c>
      <c r="F4" t="inlineStr"/>
      <c r="G4" t="inlineStr">
        <is>
          <t>DR2</t>
        </is>
      </c>
      <c r="H4" t="inlineStr"/>
      <c r="I4" t="inlineStr">
        <is>
          <t>DR3</t>
        </is>
      </c>
      <c r="J4" t="inlineStr"/>
      <c r="K4" t="inlineStr">
        <is>
          <t>DR4</t>
        </is>
      </c>
      <c r="L4" t="inlineStr"/>
    </row>
    <row r="6">
      <c r="A6" s="3" t="inlineStr">
        <is>
          <t>DRP COMPUTE SPLIT</t>
        </is>
      </c>
    </row>
    <row r="7">
      <c r="A7" t="inlineStr">
        <is>
          <t>Total DRP core-hours</t>
        </is>
      </c>
      <c r="B7" t="inlineStr">
        <is>
          <t>core-hrs</t>
        </is>
      </c>
      <c r="C7" s="5">
        <f>'Ops Compute'!C3</f>
        <v/>
      </c>
      <c r="D7" s="5">
        <f>'Ops Compute'!D3</f>
        <v/>
      </c>
      <c r="E7" s="5">
        <f>'Ops Compute'!E3</f>
        <v/>
      </c>
      <c r="F7" s="5">
        <f>'Ops Compute'!F3</f>
        <v/>
      </c>
      <c r="G7" s="5">
        <f>'Ops Compute'!G3</f>
        <v/>
      </c>
      <c r="H7" s="5">
        <f>'Ops Compute'!H3</f>
        <v/>
      </c>
      <c r="I7" s="5">
        <f>'Ops Compute'!I3</f>
        <v/>
      </c>
      <c r="J7" s="5">
        <f>'Ops Compute'!J3</f>
        <v/>
      </c>
      <c r="K7" s="5">
        <f>'Ops Compute'!K3</f>
        <v/>
      </c>
      <c r="L7" s="5">
        <f>'Ops Compute'!L3</f>
        <v/>
      </c>
    </row>
    <row r="8">
      <c r="A8" t="inlineStr">
        <is>
          <t>Total DRP cores</t>
        </is>
      </c>
      <c r="B8" t="inlineStr">
        <is>
          <t>cores</t>
        </is>
      </c>
      <c r="C8" s="5">
        <f>'Ops Compute'!C4</f>
        <v/>
      </c>
      <c r="D8" s="5">
        <f>'Ops Compute'!D4</f>
        <v/>
      </c>
      <c r="E8" s="5">
        <f>'Ops Compute'!E4</f>
        <v/>
      </c>
      <c r="F8" s="5">
        <f>'Ops Compute'!F4</f>
        <v/>
      </c>
      <c r="G8" s="5">
        <f>'Ops Compute'!G4</f>
        <v/>
      </c>
      <c r="H8" s="5">
        <f>'Ops Compute'!H4</f>
        <v/>
      </c>
      <c r="I8" s="5">
        <f>'Ops Compute'!I4</f>
        <v/>
      </c>
      <c r="J8" s="5">
        <f>'Ops Compute'!J4</f>
        <v/>
      </c>
      <c r="K8" s="5">
        <f>'Ops Compute'!K4</f>
        <v/>
      </c>
      <c r="L8" s="5">
        <f>'Ops Compute'!L4</f>
        <v/>
      </c>
    </row>
    <row r="9">
      <c r="A9" s="11" t="inlineStr">
        <is>
          <t>DRP Cores by Facility</t>
        </is>
      </c>
    </row>
    <row r="10">
      <c r="A10" t="inlineStr">
        <is>
          <t>USDF (35%)</t>
        </is>
      </c>
      <c r="B10" t="inlineStr">
        <is>
          <t>cores</t>
        </is>
      </c>
      <c r="C10" s="5">
        <f>ROUND(C8*0.35,0)</f>
        <v/>
      </c>
      <c r="D10" s="5">
        <f>ROUND(D8*0.35,0)</f>
        <v/>
      </c>
      <c r="E10" s="5">
        <f>ROUND(E8*0.35,0)</f>
        <v/>
      </c>
      <c r="F10" s="5">
        <f>ROUND(F8*0.35,0)</f>
        <v/>
      </c>
      <c r="G10" s="5">
        <f>ROUND(G8*0.35,0)</f>
        <v/>
      </c>
      <c r="H10" s="5">
        <f>ROUND(H8*0.35,0)</f>
        <v/>
      </c>
      <c r="I10" s="5">
        <f>ROUND(I8*0.35,0)</f>
        <v/>
      </c>
      <c r="J10" s="5">
        <f>ROUND(J8*0.35,0)</f>
        <v/>
      </c>
      <c r="K10" s="5">
        <f>ROUND(K8*0.35,0)</f>
        <v/>
      </c>
      <c r="L10" s="5">
        <f>ROUND(L8*0.35,0)</f>
        <v/>
      </c>
    </row>
    <row r="11">
      <c r="A11" t="inlineStr">
        <is>
          <t>France / CC-IN2P3 (40%)</t>
        </is>
      </c>
      <c r="B11" t="inlineStr">
        <is>
          <t>cores</t>
        </is>
      </c>
      <c r="C11" s="5">
        <f>ROUND(C8*0.4,0)</f>
        <v/>
      </c>
      <c r="D11" s="5">
        <f>ROUND(D8*0.4,0)</f>
        <v/>
      </c>
      <c r="E11" s="5">
        <f>ROUND(E8*0.4,0)</f>
        <v/>
      </c>
      <c r="F11" s="5">
        <f>ROUND(F8*0.4,0)</f>
        <v/>
      </c>
      <c r="G11" s="5">
        <f>ROUND(G8*0.4,0)</f>
        <v/>
      </c>
      <c r="H11" s="5">
        <f>ROUND(H8*0.4,0)</f>
        <v/>
      </c>
      <c r="I11" s="5">
        <f>ROUND(I8*0.4,0)</f>
        <v/>
      </c>
      <c r="J11" s="5">
        <f>ROUND(J8*0.4,0)</f>
        <v/>
      </c>
      <c r="K11" s="5">
        <f>ROUND(K8*0.4,0)</f>
        <v/>
      </c>
      <c r="L11" s="5">
        <f>ROUND(L8*0.4,0)</f>
        <v/>
      </c>
    </row>
    <row r="12">
      <c r="A12" t="inlineStr">
        <is>
          <t>UK / UKDF (25%)</t>
        </is>
      </c>
      <c r="B12" t="inlineStr">
        <is>
          <t>cores</t>
        </is>
      </c>
      <c r="C12" s="5">
        <f>ROUND(C8*0.25,0)</f>
        <v/>
      </c>
      <c r="D12" s="5">
        <f>ROUND(D8*0.25,0)</f>
        <v/>
      </c>
      <c r="E12" s="5">
        <f>ROUND(E8*0.25,0)</f>
        <v/>
      </c>
      <c r="F12" s="5">
        <f>ROUND(F8*0.25,0)</f>
        <v/>
      </c>
      <c r="G12" s="5">
        <f>ROUND(G8*0.25,0)</f>
        <v/>
      </c>
      <c r="H12" s="5">
        <f>ROUND(H8*0.25,0)</f>
        <v/>
      </c>
      <c r="I12" s="5">
        <f>ROUND(I8*0.25,0)</f>
        <v/>
      </c>
      <c r="J12" s="5">
        <f>ROUND(J8*0.25,0)</f>
        <v/>
      </c>
      <c r="K12" s="5">
        <f>ROUND(K8*0.25,0)</f>
        <v/>
      </c>
      <c r="L12" s="5">
        <f>ROUND(L8*0.25,0)</f>
        <v/>
      </c>
    </row>
    <row r="14">
      <c r="A14" s="11" t="inlineStr">
        <is>
          <t>DRP Core-Hours by Facility</t>
        </is>
      </c>
    </row>
    <row r="15">
      <c r="A15" t="inlineStr">
        <is>
          <t>USDF (35%)</t>
        </is>
      </c>
      <c r="B15" t="inlineStr">
        <is>
          <t>core-hrs</t>
        </is>
      </c>
      <c r="C15" s="5">
        <f>ROUND(C7*0.35,0)</f>
        <v/>
      </c>
      <c r="D15" s="5">
        <f>ROUND(D7*0.35,0)</f>
        <v/>
      </c>
      <c r="E15" s="5">
        <f>ROUND(E7*0.35,0)</f>
        <v/>
      </c>
      <c r="F15" s="5">
        <f>ROUND(F7*0.35,0)</f>
        <v/>
      </c>
      <c r="G15" s="5">
        <f>ROUND(G7*0.35,0)</f>
        <v/>
      </c>
      <c r="H15" s="5">
        <f>ROUND(H7*0.35,0)</f>
        <v/>
      </c>
      <c r="I15" s="5">
        <f>ROUND(I7*0.35,0)</f>
        <v/>
      </c>
      <c r="J15" s="5">
        <f>ROUND(J7*0.35,0)</f>
        <v/>
      </c>
      <c r="K15" s="5">
        <f>ROUND(K7*0.35,0)</f>
        <v/>
      </c>
      <c r="L15" s="5">
        <f>ROUND(L7*0.35,0)</f>
        <v/>
      </c>
    </row>
    <row r="16">
      <c r="A16" t="inlineStr">
        <is>
          <t>France / CC-IN2P3 (40%)</t>
        </is>
      </c>
      <c r="B16" t="inlineStr">
        <is>
          <t>core-hrs</t>
        </is>
      </c>
      <c r="C16" s="5">
        <f>ROUND(C7*0.4,0)</f>
        <v/>
      </c>
      <c r="D16" s="5">
        <f>ROUND(D7*0.4,0)</f>
        <v/>
      </c>
      <c r="E16" s="5">
        <f>ROUND(E7*0.4,0)</f>
        <v/>
      </c>
      <c r="F16" s="5">
        <f>ROUND(F7*0.4,0)</f>
        <v/>
      </c>
      <c r="G16" s="5">
        <f>ROUND(G7*0.4,0)</f>
        <v/>
      </c>
      <c r="H16" s="5">
        <f>ROUND(H7*0.4,0)</f>
        <v/>
      </c>
      <c r="I16" s="5">
        <f>ROUND(I7*0.4,0)</f>
        <v/>
      </c>
      <c r="J16" s="5">
        <f>ROUND(J7*0.4,0)</f>
        <v/>
      </c>
      <c r="K16" s="5">
        <f>ROUND(K7*0.4,0)</f>
        <v/>
      </c>
      <c r="L16" s="5">
        <f>ROUND(L7*0.4,0)</f>
        <v/>
      </c>
    </row>
    <row r="17">
      <c r="A17" t="inlineStr">
        <is>
          <t>UK / UKDF (25%)</t>
        </is>
      </c>
      <c r="B17" t="inlineStr">
        <is>
          <t>core-hrs</t>
        </is>
      </c>
      <c r="C17" s="5">
        <f>ROUND(C7*0.25,0)</f>
        <v/>
      </c>
      <c r="D17" s="5">
        <f>ROUND(D7*0.25,0)</f>
        <v/>
      </c>
      <c r="E17" s="5">
        <f>ROUND(E7*0.25,0)</f>
        <v/>
      </c>
      <c r="F17" s="5">
        <f>ROUND(F7*0.25,0)</f>
        <v/>
      </c>
      <c r="G17" s="5">
        <f>ROUND(G7*0.25,0)</f>
        <v/>
      </c>
      <c r="H17" s="5">
        <f>ROUND(H7*0.25,0)</f>
        <v/>
      </c>
      <c r="I17" s="5">
        <f>ROUND(I7*0.25,0)</f>
        <v/>
      </c>
      <c r="J17" s="5">
        <f>ROUND(J7*0.25,0)</f>
        <v/>
      </c>
      <c r="K17" s="5">
        <f>ROUND(K7*0.25,0)</f>
        <v/>
      </c>
      <c r="L17" s="5">
        <f>ROUND(L7*0.25,0)</f>
        <v/>
      </c>
    </row>
    <row r="19">
      <c r="A19" s="3" t="inlineStr">
        <is>
          <t>FRANCE (CC-IN2P3) DETAIL</t>
        </is>
      </c>
    </row>
    <row r="20">
      <c r="A20" t="inlineStr">
        <is>
          <t>DRP cores</t>
        </is>
      </c>
      <c r="B20" t="inlineStr">
        <is>
          <t>cores</t>
        </is>
      </c>
      <c r="C20" s="5">
        <f>C11</f>
        <v/>
      </c>
      <c r="D20" s="5">
        <f>D11</f>
        <v/>
      </c>
      <c r="E20" s="5">
        <f>E11</f>
        <v/>
      </c>
      <c r="F20" s="5">
        <f>F11</f>
        <v/>
      </c>
      <c r="G20" s="5">
        <f>G11</f>
        <v/>
      </c>
      <c r="H20" s="5">
        <f>H11</f>
        <v/>
      </c>
      <c r="I20" s="5">
        <f>I11</f>
        <v/>
      </c>
      <c r="J20" s="5">
        <f>J11</f>
        <v/>
      </c>
      <c r="K20" s="5">
        <f>K11</f>
        <v/>
      </c>
      <c r="L20" s="5">
        <f>L11</f>
        <v/>
      </c>
    </row>
    <row r="21">
      <c r="A21" t="inlineStr">
        <is>
          <t>Batch nodes (est.)</t>
        </is>
      </c>
      <c r="B21" t="inlineStr">
        <is>
          <t>nodes</t>
        </is>
      </c>
      <c r="C21" s="5">
        <f>CEILING(C20/120,1)</f>
        <v/>
      </c>
      <c r="D21" s="5">
        <f>CEILING(D20/120,1)</f>
        <v/>
      </c>
      <c r="E21" s="5">
        <f>CEILING(E20/120,1)</f>
        <v/>
      </c>
      <c r="F21" s="5">
        <f>CEILING(F20/120,1)</f>
        <v/>
      </c>
      <c r="G21" s="5">
        <f>CEILING(G20/120,1)</f>
        <v/>
      </c>
      <c r="H21" s="5">
        <f>CEILING(H20/120,1)</f>
        <v/>
      </c>
      <c r="I21" s="5">
        <f>CEILING(I20/120,1)</f>
        <v/>
      </c>
      <c r="J21" s="5">
        <f>CEILING(J20/120,1)</f>
        <v/>
      </c>
      <c r="K21" s="5">
        <f>CEILING(K20/120,1)</f>
        <v/>
      </c>
      <c r="L21" s="5">
        <f>CEILING(L20/120,1)</f>
        <v/>
      </c>
    </row>
    <row r="22">
      <c r="A22" t="inlineStr">
        <is>
          <t>DRP scratch storage (est.)</t>
        </is>
      </c>
      <c r="B22" t="inlineStr">
        <is>
          <t>TB</t>
        </is>
      </c>
      <c r="C22" s="6">
        <f>ROUND(('Ops Storage'!C38+'Ops Storage'!C39+'Ops Storage'!C41)*0.4,0)</f>
        <v/>
      </c>
      <c r="D22" s="6">
        <f>ROUND(('Ops Storage'!D38+'Ops Storage'!D39+'Ops Storage'!D41)*0.4,0)</f>
        <v/>
      </c>
      <c r="E22" s="6">
        <f>ROUND(('Ops Storage'!E38+'Ops Storage'!E39+'Ops Storage'!E41)*0.4,0)</f>
        <v/>
      </c>
      <c r="F22" s="6">
        <f>ROUND(('Ops Storage'!F38+'Ops Storage'!F39+'Ops Storage'!F41)*0.4,0)</f>
        <v/>
      </c>
      <c r="G22" s="6">
        <f>ROUND(('Ops Storage'!G38+'Ops Storage'!G39+'Ops Storage'!G41)*0.4,0)</f>
        <v/>
      </c>
      <c r="H22" s="6">
        <f>ROUND(('Ops Storage'!H38+'Ops Storage'!H39+'Ops Storage'!H41)*0.4,0)</f>
        <v/>
      </c>
      <c r="I22" s="6">
        <f>ROUND(('Ops Storage'!I38+'Ops Storage'!I39+'Ops Storage'!I41)*0.4,0)</f>
        <v/>
      </c>
      <c r="J22" s="6">
        <f>ROUND(('Ops Storage'!J38+'Ops Storage'!J39+'Ops Storage'!J41)*0.4,0)</f>
        <v/>
      </c>
      <c r="K22" s="6">
        <f>ROUND(('Ops Storage'!K38+'Ops Storage'!K39+'Ops Storage'!K41)*0.4,0)</f>
        <v/>
      </c>
      <c r="L22" s="6">
        <f>ROUND(('Ops Storage'!L38+'Ops Storage'!L39+'Ops Storage'!L41)*0.4,0)</f>
        <v/>
      </c>
    </row>
    <row r="24">
      <c r="A24" s="3" t="inlineStr">
        <is>
          <t>UK (UKDF) DETAIL</t>
        </is>
      </c>
    </row>
    <row r="25">
      <c r="A25" t="inlineStr">
        <is>
          <t>DRP cores</t>
        </is>
      </c>
      <c r="B25" t="inlineStr">
        <is>
          <t>cores</t>
        </is>
      </c>
      <c r="C25" s="5">
        <f>C12</f>
        <v/>
      </c>
      <c r="D25" s="5">
        <f>D12</f>
        <v/>
      </c>
      <c r="E25" s="5">
        <f>E12</f>
        <v/>
      </c>
      <c r="F25" s="5">
        <f>F12</f>
        <v/>
      </c>
      <c r="G25" s="5">
        <f>G12</f>
        <v/>
      </c>
      <c r="H25" s="5">
        <f>H12</f>
        <v/>
      </c>
      <c r="I25" s="5">
        <f>I12</f>
        <v/>
      </c>
      <c r="J25" s="5">
        <f>J12</f>
        <v/>
      </c>
      <c r="K25" s="5">
        <f>K12</f>
        <v/>
      </c>
      <c r="L25" s="5">
        <f>L12</f>
        <v/>
      </c>
    </row>
    <row r="26">
      <c r="A26" t="inlineStr">
        <is>
          <t>Batch nodes (est.)</t>
        </is>
      </c>
      <c r="B26" t="inlineStr">
        <is>
          <t>nodes</t>
        </is>
      </c>
      <c r="C26" s="5">
        <f>CEILING(C25/120,1)</f>
        <v/>
      </c>
      <c r="D26" s="5">
        <f>CEILING(D25/120,1)</f>
        <v/>
      </c>
      <c r="E26" s="5">
        <f>CEILING(E25/120,1)</f>
        <v/>
      </c>
      <c r="F26" s="5">
        <f>CEILING(F25/120,1)</f>
        <v/>
      </c>
      <c r="G26" s="5">
        <f>CEILING(G25/120,1)</f>
        <v/>
      </c>
      <c r="H26" s="5">
        <f>CEILING(H25/120,1)</f>
        <v/>
      </c>
      <c r="I26" s="5">
        <f>CEILING(I25/120,1)</f>
        <v/>
      </c>
      <c r="J26" s="5">
        <f>CEILING(J25/120,1)</f>
        <v/>
      </c>
      <c r="K26" s="5">
        <f>CEILING(K25/120,1)</f>
        <v/>
      </c>
      <c r="L26" s="5">
        <f>CEILING(L25/120,1)</f>
        <v/>
      </c>
    </row>
    <row r="27">
      <c r="A27" t="inlineStr">
        <is>
          <t>DRP scratch storage (est.)</t>
        </is>
      </c>
      <c r="B27" t="inlineStr">
        <is>
          <t>TB</t>
        </is>
      </c>
      <c r="C27" s="6">
        <f>ROUND(('Ops Storage'!C38+'Ops Storage'!C39+'Ops Storage'!C41)*0.25,0)</f>
        <v/>
      </c>
      <c r="D27" s="6">
        <f>ROUND(('Ops Storage'!D38+'Ops Storage'!D39+'Ops Storage'!D41)*0.25,0)</f>
        <v/>
      </c>
      <c r="E27" s="6">
        <f>ROUND(('Ops Storage'!E38+'Ops Storage'!E39+'Ops Storage'!E41)*0.25,0)</f>
        <v/>
      </c>
      <c r="F27" s="6">
        <f>ROUND(('Ops Storage'!F38+'Ops Storage'!F39+'Ops Storage'!F41)*0.25,0)</f>
        <v/>
      </c>
      <c r="G27" s="6">
        <f>ROUND(('Ops Storage'!G38+'Ops Storage'!G39+'Ops Storage'!G41)*0.25,0)</f>
        <v/>
      </c>
      <c r="H27" s="6">
        <f>ROUND(('Ops Storage'!H38+'Ops Storage'!H39+'Ops Storage'!H41)*0.25,0)</f>
        <v/>
      </c>
      <c r="I27" s="6">
        <f>ROUND(('Ops Storage'!I38+'Ops Storage'!I39+'Ops Storage'!I41)*0.25,0)</f>
        <v/>
      </c>
      <c r="J27" s="6">
        <f>ROUND(('Ops Storage'!J38+'Ops Storage'!J39+'Ops Storage'!J41)*0.25,0)</f>
        <v/>
      </c>
      <c r="K27" s="6">
        <f>ROUND(('Ops Storage'!K38+'Ops Storage'!K39+'Ops Storage'!K41)*0.25,0)</f>
        <v/>
      </c>
      <c r="L27" s="6">
        <f>ROUND(('Ops Storage'!L38+'Ops Storage'!L39+'Ops Storage'!L41)*0.25,0)</f>
        <v/>
      </c>
    </row>
    <row r="29">
      <c r="A29" s="15" t="inlineStr">
        <is>
          <t>Note: France and UK handle DRP compute only. Long-term data products and storage reside at USDF.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8" customWidth="1" min="9" max="9"/>
    <col width="38" customWidth="1" min="10" max="10"/>
  </cols>
  <sheetData>
    <row r="1">
      <c r="A1" s="1" t="inlineStr">
        <is>
          <t>Yearly Readiness — LOY1 to LOY10</t>
        </is>
      </c>
    </row>
    <row r="3">
      <c r="A3" s="2" t="inlineStr">
        <is>
          <t>LOY</t>
        </is>
      </c>
      <c r="B3" s="2" t="inlineStr">
        <is>
          <t>Year</t>
        </is>
      </c>
      <c r="C3" s="2" t="inlineStr">
        <is>
          <t>Milestone</t>
        </is>
      </c>
      <c r="D3" s="2" t="inlineStr">
        <is>
          <t>Total Cores
Needed</t>
        </is>
      </c>
      <c r="E3" s="2" t="inlineStr">
        <is>
          <t>Cores Available
(before purchase)</t>
        </is>
      </c>
      <c r="F3" s="2" t="inlineStr">
        <is>
          <t>Compute
Gap</t>
        </is>
      </c>
      <c r="G3" s="2" t="inlineStr">
        <is>
          <t>Online Storage
Needed (PB)</t>
        </is>
      </c>
      <c r="H3" s="2" t="inlineStr">
        <is>
          <t>Storage Available
(before purchase, PB)</t>
        </is>
      </c>
      <c r="I3" s="2" t="inlineStr">
        <is>
          <t>Storage
Gap (PB)</t>
        </is>
      </c>
      <c r="J3" s="2" t="inlineStr">
        <is>
          <t>Status</t>
        </is>
      </c>
    </row>
    <row r="4">
      <c r="A4" t="inlineStr">
        <is>
          <t>LOY1</t>
        </is>
      </c>
      <c r="B4" t="n">
        <v>2026</v>
      </c>
      <c r="C4" s="10" t="inlineStr">
        <is>
          <t>DP2</t>
        </is>
      </c>
      <c r="D4" s="5">
        <f>'Purchase Plan'!C11</f>
        <v/>
      </c>
      <c r="E4" s="5" t="n">
        <v>7600</v>
      </c>
      <c r="F4" s="5">
        <f>MAX(0,D4-E4)</f>
        <v/>
      </c>
      <c r="G4" s="6">
        <f>'Purchase Plan'!C30/1000</f>
        <v/>
      </c>
      <c r="H4" s="6" t="n">
        <v>30</v>
      </c>
      <c r="I4" s="6">
        <f>MAX(0,G4-H4)</f>
        <v/>
      </c>
      <c r="J4">
        <f>IF(AND(F4&lt;=0,I4&lt;=0),"On Track","Need: "&amp;IF(F4&gt;0,TEXT(F4,"#,##0")&amp;" cores","")&amp;IF(AND(F4&gt;0,I4&gt;0)," + ","")&amp;IF(I4&gt;0,TEXT(I4,"#,##0.0")&amp;" PB",""))</f>
        <v/>
      </c>
    </row>
    <row r="5">
      <c r="A5" t="inlineStr">
        <is>
          <t>LOY2</t>
        </is>
      </c>
      <c r="B5" t="n">
        <v>2027</v>
      </c>
      <c r="C5" t="inlineStr"/>
      <c r="D5" s="5">
        <f>'Purchase Plan'!D11</f>
        <v/>
      </c>
      <c r="E5" s="5">
        <f>'Purchase Plan'!C12</f>
        <v/>
      </c>
      <c r="F5" s="5">
        <f>MAX(0,D5-E5)</f>
        <v/>
      </c>
      <c r="G5" s="6">
        <f>'Purchase Plan'!D30/1000</f>
        <v/>
      </c>
      <c r="H5" s="6">
        <f>'Purchase Plan'!C31/1000</f>
        <v/>
      </c>
      <c r="I5" s="6">
        <f>MAX(0,G5-H5)</f>
        <v/>
      </c>
      <c r="J5">
        <f>IF(AND(F5&lt;=0,I5&lt;=0),"On Track","Need: "&amp;IF(F5&gt;0,TEXT(F5,"#,##0")&amp;" cores","")&amp;IF(AND(F5&gt;0,I5&gt;0)," + ","")&amp;IF(I5&gt;0,TEXT(I5,"#,##0.0")&amp;" PB",""))</f>
        <v/>
      </c>
    </row>
    <row r="6">
      <c r="A6" t="inlineStr">
        <is>
          <t>LOY3</t>
        </is>
      </c>
      <c r="B6" t="n">
        <v>2028</v>
      </c>
      <c r="C6" s="10" t="inlineStr">
        <is>
          <t>DR1</t>
        </is>
      </c>
      <c r="D6" s="5">
        <f>'Purchase Plan'!E11</f>
        <v/>
      </c>
      <c r="E6" s="5">
        <f>'Purchase Plan'!D12</f>
        <v/>
      </c>
      <c r="F6" s="5">
        <f>MAX(0,D6-E6)</f>
        <v/>
      </c>
      <c r="G6" s="6">
        <f>'Purchase Plan'!E30/1000</f>
        <v/>
      </c>
      <c r="H6" s="6">
        <f>'Purchase Plan'!D31/1000</f>
        <v/>
      </c>
      <c r="I6" s="6">
        <f>MAX(0,G6-H6)</f>
        <v/>
      </c>
      <c r="J6">
        <f>IF(AND(F6&lt;=0,I6&lt;=0),"On Track","Need: "&amp;IF(F6&gt;0,TEXT(F6,"#,##0")&amp;" cores","")&amp;IF(AND(F6&gt;0,I6&gt;0)," + ","")&amp;IF(I6&gt;0,TEXT(I6,"#,##0.0")&amp;" PB",""))</f>
        <v/>
      </c>
    </row>
    <row r="7">
      <c r="A7" t="inlineStr">
        <is>
          <t>LOY4</t>
        </is>
      </c>
      <c r="B7" t="n">
        <v>2029</v>
      </c>
      <c r="C7" t="inlineStr"/>
      <c r="D7" s="5">
        <f>'Purchase Plan'!F11</f>
        <v/>
      </c>
      <c r="E7" s="5">
        <f>'Purchase Plan'!E12</f>
        <v/>
      </c>
      <c r="F7" s="5">
        <f>MAX(0,D7-E7)</f>
        <v/>
      </c>
      <c r="G7" s="6">
        <f>'Purchase Plan'!F30/1000</f>
        <v/>
      </c>
      <c r="H7" s="6">
        <f>'Purchase Plan'!E31/1000</f>
        <v/>
      </c>
      <c r="I7" s="6">
        <f>MAX(0,G7-H7)</f>
        <v/>
      </c>
      <c r="J7">
        <f>IF(AND(F7&lt;=0,I7&lt;=0),"On Track","Need: "&amp;IF(F7&gt;0,TEXT(F7,"#,##0")&amp;" cores","")&amp;IF(AND(F7&gt;0,I7&gt;0)," + ","")&amp;IF(I7&gt;0,TEXT(I7,"#,##0.0")&amp;" PB",""))</f>
        <v/>
      </c>
    </row>
    <row r="8">
      <c r="A8" t="inlineStr">
        <is>
          <t>LOY5</t>
        </is>
      </c>
      <c r="B8" t="n">
        <v>2030</v>
      </c>
      <c r="C8" s="10" t="inlineStr">
        <is>
          <t>DR2</t>
        </is>
      </c>
      <c r="D8" s="5">
        <f>'Purchase Plan'!G11</f>
        <v/>
      </c>
      <c r="E8" s="5">
        <f>'Purchase Plan'!F12</f>
        <v/>
      </c>
      <c r="F8" s="5">
        <f>MAX(0,D8-E8)</f>
        <v/>
      </c>
      <c r="G8" s="6">
        <f>'Purchase Plan'!G30/1000</f>
        <v/>
      </c>
      <c r="H8" s="6">
        <f>'Purchase Plan'!F31/1000</f>
        <v/>
      </c>
      <c r="I8" s="6">
        <f>MAX(0,G8-H8)</f>
        <v/>
      </c>
      <c r="J8">
        <f>IF(AND(F8&lt;=0,I8&lt;=0),"On Track","Need: "&amp;IF(F8&gt;0,TEXT(F8,"#,##0")&amp;" cores","")&amp;IF(AND(F8&gt;0,I8&gt;0)," + ","")&amp;IF(I8&gt;0,TEXT(I8,"#,##0.0")&amp;" PB",""))</f>
        <v/>
      </c>
    </row>
    <row r="9">
      <c r="A9" t="inlineStr">
        <is>
          <t>LOY6</t>
        </is>
      </c>
      <c r="B9" t="n">
        <v>2031</v>
      </c>
      <c r="C9" t="inlineStr"/>
      <c r="D9" s="5">
        <f>'Purchase Plan'!H11</f>
        <v/>
      </c>
      <c r="E9" s="5">
        <f>'Purchase Plan'!G12</f>
        <v/>
      </c>
      <c r="F9" s="5">
        <f>MAX(0,D9-E9)</f>
        <v/>
      </c>
      <c r="G9" s="6">
        <f>'Purchase Plan'!H30/1000</f>
        <v/>
      </c>
      <c r="H9" s="6">
        <f>'Purchase Plan'!G31/1000</f>
        <v/>
      </c>
      <c r="I9" s="6">
        <f>MAX(0,G9-H9)</f>
        <v/>
      </c>
      <c r="J9">
        <f>IF(AND(F9&lt;=0,I9&lt;=0),"On Track","Need: "&amp;IF(F9&gt;0,TEXT(F9,"#,##0")&amp;" cores","")&amp;IF(AND(F9&gt;0,I9&gt;0)," + ","")&amp;IF(I9&gt;0,TEXT(I9,"#,##0.0")&amp;" PB",""))</f>
        <v/>
      </c>
    </row>
    <row r="10">
      <c r="A10" t="inlineStr">
        <is>
          <t>LOY7</t>
        </is>
      </c>
      <c r="B10" t="n">
        <v>2032</v>
      </c>
      <c r="C10" s="10" t="inlineStr">
        <is>
          <t>DR3</t>
        </is>
      </c>
      <c r="D10" s="5">
        <f>'Purchase Plan'!I11</f>
        <v/>
      </c>
      <c r="E10" s="5">
        <f>'Purchase Plan'!H12</f>
        <v/>
      </c>
      <c r="F10" s="5">
        <f>MAX(0,D10-E10)</f>
        <v/>
      </c>
      <c r="G10" s="6">
        <f>'Purchase Plan'!I30/1000</f>
        <v/>
      </c>
      <c r="H10" s="6">
        <f>'Purchase Plan'!H31/1000</f>
        <v/>
      </c>
      <c r="I10" s="6">
        <f>MAX(0,G10-H10)</f>
        <v/>
      </c>
      <c r="J10">
        <f>IF(AND(F10&lt;=0,I10&lt;=0),"On Track","Need: "&amp;IF(F10&gt;0,TEXT(F10,"#,##0")&amp;" cores","")&amp;IF(AND(F10&gt;0,I10&gt;0)," + ","")&amp;IF(I10&gt;0,TEXT(I10,"#,##0.0")&amp;" PB",""))</f>
        <v/>
      </c>
    </row>
    <row r="11">
      <c r="A11" t="inlineStr">
        <is>
          <t>LOY8</t>
        </is>
      </c>
      <c r="B11" t="n">
        <v>2033</v>
      </c>
      <c r="C11" t="inlineStr"/>
      <c r="D11" s="5">
        <f>'Purchase Plan'!J11</f>
        <v/>
      </c>
      <c r="E11" s="5">
        <f>'Purchase Plan'!I12</f>
        <v/>
      </c>
      <c r="F11" s="5">
        <f>MAX(0,D11-E11)</f>
        <v/>
      </c>
      <c r="G11" s="6">
        <f>'Purchase Plan'!J30/1000</f>
        <v/>
      </c>
      <c r="H11" s="6">
        <f>'Purchase Plan'!I31/1000</f>
        <v/>
      </c>
      <c r="I11" s="6">
        <f>MAX(0,G11-H11)</f>
        <v/>
      </c>
      <c r="J11">
        <f>IF(AND(F11&lt;=0,I11&lt;=0),"On Track","Need: "&amp;IF(F11&gt;0,TEXT(F11,"#,##0")&amp;" cores","")&amp;IF(AND(F11&gt;0,I11&gt;0)," + ","")&amp;IF(I11&gt;0,TEXT(I11,"#,##0.0")&amp;" PB",""))</f>
        <v/>
      </c>
    </row>
    <row r="12">
      <c r="A12" t="inlineStr">
        <is>
          <t>LOY9</t>
        </is>
      </c>
      <c r="B12" t="n">
        <v>2034</v>
      </c>
      <c r="C12" s="10" t="inlineStr">
        <is>
          <t>DR4</t>
        </is>
      </c>
      <c r="D12" s="5">
        <f>'Purchase Plan'!K11</f>
        <v/>
      </c>
      <c r="E12" s="5">
        <f>'Purchase Plan'!J12</f>
        <v/>
      </c>
      <c r="F12" s="5">
        <f>MAX(0,D12-E12)</f>
        <v/>
      </c>
      <c r="G12" s="6">
        <f>'Purchase Plan'!K30/1000</f>
        <v/>
      </c>
      <c r="H12" s="6">
        <f>'Purchase Plan'!J31/1000</f>
        <v/>
      </c>
      <c r="I12" s="6">
        <f>MAX(0,G12-H12)</f>
        <v/>
      </c>
      <c r="J12">
        <f>IF(AND(F12&lt;=0,I12&lt;=0),"On Track","Need: "&amp;IF(F12&gt;0,TEXT(F12,"#,##0")&amp;" cores","")&amp;IF(AND(F12&gt;0,I12&gt;0)," + ","")&amp;IF(I12&gt;0,TEXT(I12,"#,##0.0")&amp;" PB",""))</f>
        <v/>
      </c>
    </row>
    <row r="13">
      <c r="A13" t="inlineStr">
        <is>
          <t>LOY10</t>
        </is>
      </c>
      <c r="B13" t="n">
        <v>2035</v>
      </c>
      <c r="C13" t="inlineStr"/>
      <c r="D13" s="5">
        <f>'Purchase Plan'!L11</f>
        <v/>
      </c>
      <c r="E13" s="5">
        <f>'Purchase Plan'!K12</f>
        <v/>
      </c>
      <c r="F13" s="5">
        <f>MAX(0,D13-E13)</f>
        <v/>
      </c>
      <c r="G13" s="6">
        <f>'Purchase Plan'!L30/1000</f>
        <v/>
      </c>
      <c r="H13" s="6">
        <f>'Purchase Plan'!K31/1000</f>
        <v/>
      </c>
      <c r="I13" s="6">
        <f>MAX(0,G13-H13)</f>
        <v/>
      </c>
      <c r="J13">
        <f>IF(AND(F13&lt;=0,I13&lt;=0),"On Track","Need: "&amp;IF(F13&gt;0,TEXT(F13,"#,##0")&amp;" cores","")&amp;IF(AND(F13&gt;0,I13&gt;0)," + ","")&amp;IF(I13&gt;0,TEXT(I13,"#,##0.0")&amp;" PB",""))</f>
        <v/>
      </c>
    </row>
    <row r="15">
      <c r="A15" s="14" t="inlineStr">
        <is>
          <t>Notes:</t>
        </is>
      </c>
    </row>
    <row r="16">
      <c r="A16" s="15" t="inlineStr">
        <is>
          <t>'Available' = what is on hand BEFORE this year's purchase cycle. 'Gap' = additional capacity to procure. 100% USDF compute assumed.</t>
        </is>
      </c>
    </row>
    <row r="17">
      <c r="A17" s="15" t="inlineStr">
        <is>
          <t>See 'International Compute' tab for France (40%) + UK (25%) DRP offload scenario.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" t="inlineStr">
        <is>
          <t>Year</t>
        </is>
      </c>
      <c r="B1" s="2" t="inlineStr">
        <is>
          <t>Fast (PB)</t>
        </is>
      </c>
      <c r="C1" s="2" t="inlineStr">
        <is>
          <t>Normal (PB)</t>
        </is>
      </c>
      <c r="D1" s="2" t="inlineStr">
        <is>
          <t>Qserv (PB)</t>
        </is>
      </c>
      <c r="E1" s="2" t="inlineStr">
        <is>
          <t>Object Store (PB)</t>
        </is>
      </c>
      <c r="F1" s="2" t="inlineStr">
        <is>
          <t>Tape (PB)</t>
        </is>
      </c>
    </row>
    <row r="2">
      <c r="A2" t="inlineStr">
        <is>
          <t>LOY1 (FY2026)</t>
        </is>
      </c>
      <c r="B2" s="6">
        <f>'Ops Storage'!C51/1000</f>
        <v/>
      </c>
      <c r="C2" s="6">
        <f>'Ops Storage'!C53/1000</f>
        <v/>
      </c>
      <c r="D2" s="6">
        <f>'Ops Storage'!C55/1000</f>
        <v/>
      </c>
      <c r="E2" s="6">
        <f>'Ops Storage'!C61/1000</f>
        <v/>
      </c>
      <c r="F2" s="6">
        <f>'Ops Storage'!C66/1000</f>
        <v/>
      </c>
    </row>
    <row r="3">
      <c r="A3" t="inlineStr">
        <is>
          <t>LOY2 (FY2027)</t>
        </is>
      </c>
      <c r="B3" s="6">
        <f>'Ops Storage'!D51/1000</f>
        <v/>
      </c>
      <c r="C3" s="6">
        <f>'Ops Storage'!D53/1000</f>
        <v/>
      </c>
      <c r="D3" s="6">
        <f>'Ops Storage'!D55/1000</f>
        <v/>
      </c>
      <c r="E3" s="6">
        <f>'Ops Storage'!D61/1000</f>
        <v/>
      </c>
      <c r="F3" s="6">
        <f>'Ops Storage'!D66/1000</f>
        <v/>
      </c>
    </row>
    <row r="4">
      <c r="A4" t="inlineStr">
        <is>
          <t>LOY3 (FY2028)</t>
        </is>
      </c>
      <c r="B4" s="6">
        <f>'Ops Storage'!E51/1000</f>
        <v/>
      </c>
      <c r="C4" s="6">
        <f>'Ops Storage'!E53/1000</f>
        <v/>
      </c>
      <c r="D4" s="6">
        <f>'Ops Storage'!E55/1000</f>
        <v/>
      </c>
      <c r="E4" s="6">
        <f>'Ops Storage'!E61/1000</f>
        <v/>
      </c>
      <c r="F4" s="6">
        <f>'Ops Storage'!E66/1000</f>
        <v/>
      </c>
    </row>
    <row r="5">
      <c r="A5" t="inlineStr">
        <is>
          <t>LOY4 (FY2029)</t>
        </is>
      </c>
      <c r="B5" s="6">
        <f>'Ops Storage'!F51/1000</f>
        <v/>
      </c>
      <c r="C5" s="6">
        <f>'Ops Storage'!F53/1000</f>
        <v/>
      </c>
      <c r="D5" s="6">
        <f>'Ops Storage'!F55/1000</f>
        <v/>
      </c>
      <c r="E5" s="6">
        <f>'Ops Storage'!F61/1000</f>
        <v/>
      </c>
      <c r="F5" s="6">
        <f>'Ops Storage'!F66/1000</f>
        <v/>
      </c>
    </row>
    <row r="6">
      <c r="A6" t="inlineStr">
        <is>
          <t>LOY5 (FY2030)</t>
        </is>
      </c>
      <c r="B6" s="6">
        <f>'Ops Storage'!G51/1000</f>
        <v/>
      </c>
      <c r="C6" s="6">
        <f>'Ops Storage'!G53/1000</f>
        <v/>
      </c>
      <c r="D6" s="6">
        <f>'Ops Storage'!G55/1000</f>
        <v/>
      </c>
      <c r="E6" s="6">
        <f>'Ops Storage'!G61/1000</f>
        <v/>
      </c>
      <c r="F6" s="6">
        <f>'Ops Storage'!G66/1000</f>
        <v/>
      </c>
    </row>
    <row r="7">
      <c r="A7" t="inlineStr">
        <is>
          <t>LOY6 (FY2031)</t>
        </is>
      </c>
      <c r="B7" s="6">
        <f>'Ops Storage'!H51/1000</f>
        <v/>
      </c>
      <c r="C7" s="6">
        <f>'Ops Storage'!H53/1000</f>
        <v/>
      </c>
      <c r="D7" s="6">
        <f>'Ops Storage'!H55/1000</f>
        <v/>
      </c>
      <c r="E7" s="6">
        <f>'Ops Storage'!H61/1000</f>
        <v/>
      </c>
      <c r="F7" s="6">
        <f>'Ops Storage'!H66/1000</f>
        <v/>
      </c>
    </row>
    <row r="8">
      <c r="A8" t="inlineStr">
        <is>
          <t>LOY7 (FY2032)</t>
        </is>
      </c>
      <c r="B8" s="6">
        <f>'Ops Storage'!I51/1000</f>
        <v/>
      </c>
      <c r="C8" s="6">
        <f>'Ops Storage'!I53/1000</f>
        <v/>
      </c>
      <c r="D8" s="6">
        <f>'Ops Storage'!I55/1000</f>
        <v/>
      </c>
      <c r="E8" s="6">
        <f>'Ops Storage'!I61/1000</f>
        <v/>
      </c>
      <c r="F8" s="6">
        <f>'Ops Storage'!I66/1000</f>
        <v/>
      </c>
    </row>
    <row r="9">
      <c r="A9" t="inlineStr">
        <is>
          <t>LOY8 (FY2033)</t>
        </is>
      </c>
      <c r="B9" s="6">
        <f>'Ops Storage'!J51/1000</f>
        <v/>
      </c>
      <c r="C9" s="6">
        <f>'Ops Storage'!J53/1000</f>
        <v/>
      </c>
      <c r="D9" s="6">
        <f>'Ops Storage'!J55/1000</f>
        <v/>
      </c>
      <c r="E9" s="6">
        <f>'Ops Storage'!J61/1000</f>
        <v/>
      </c>
      <c r="F9" s="6">
        <f>'Ops Storage'!J66/1000</f>
        <v/>
      </c>
    </row>
    <row r="10">
      <c r="A10" t="inlineStr">
        <is>
          <t>LOY9 (FY2034)</t>
        </is>
      </c>
      <c r="B10" s="6">
        <f>'Ops Storage'!K51/1000</f>
        <v/>
      </c>
      <c r="C10" s="6">
        <f>'Ops Storage'!K53/1000</f>
        <v/>
      </c>
      <c r="D10" s="6">
        <f>'Ops Storage'!K55/1000</f>
        <v/>
      </c>
      <c r="E10" s="6">
        <f>'Ops Storage'!K61/1000</f>
        <v/>
      </c>
      <c r="F10" s="6">
        <f>'Ops Storage'!K66/1000</f>
        <v/>
      </c>
    </row>
    <row r="11">
      <c r="A11" t="inlineStr">
        <is>
          <t>LOY10 (FY2035)</t>
        </is>
      </c>
      <c r="B11" s="6">
        <f>'Ops Storage'!L51/1000</f>
        <v/>
      </c>
      <c r="C11" s="6">
        <f>'Ops Storage'!L53/1000</f>
        <v/>
      </c>
      <c r="D11" s="6">
        <f>'Ops Storage'!L55/1000</f>
        <v/>
      </c>
      <c r="E11" s="6">
        <f>'Ops Storage'!L61/1000</f>
        <v/>
      </c>
      <c r="F11" s="6">
        <f>'Ops Storage'!L66/1000</f>
        <v/>
      </c>
    </row>
    <row r="13">
      <c r="A13" s="2" t="inlineStr">
        <is>
          <t>Year</t>
        </is>
      </c>
      <c r="B13" s="2" t="inlineStr">
        <is>
          <t>Flash (PB)</t>
        </is>
      </c>
      <c r="C13" s="2" t="inlineStr">
        <is>
          <t>Qserv (PB)</t>
        </is>
      </c>
      <c r="D13" s="2" t="inlineStr">
        <is>
          <t>Object Store (PB)</t>
        </is>
      </c>
    </row>
    <row r="14">
      <c r="A14" t="inlineStr">
        <is>
          <t>LOY1</t>
        </is>
      </c>
      <c r="B14" s="6">
        <f>'Ops Storage'!C51/1000</f>
        <v/>
      </c>
      <c r="C14" s="6">
        <f>'Ops Storage'!C55/1000</f>
        <v/>
      </c>
      <c r="D14" s="6">
        <f>'Ops Storage'!C61/1000</f>
        <v/>
      </c>
    </row>
    <row r="15">
      <c r="A15" t="inlineStr">
        <is>
          <t>LOY2</t>
        </is>
      </c>
      <c r="B15" s="6">
        <f>'Ops Storage'!D51/1000</f>
        <v/>
      </c>
      <c r="C15" s="6">
        <f>'Ops Storage'!D55/1000</f>
        <v/>
      </c>
      <c r="D15" s="6">
        <f>'Ops Storage'!D61/1000</f>
        <v/>
      </c>
    </row>
    <row r="16">
      <c r="A16" t="inlineStr">
        <is>
          <t>LOY3</t>
        </is>
      </c>
      <c r="B16" s="6">
        <f>'Ops Storage'!E51/1000</f>
        <v/>
      </c>
      <c r="C16" s="6">
        <f>'Ops Storage'!E55/1000</f>
        <v/>
      </c>
      <c r="D16" s="6">
        <f>'Ops Storage'!E61/1000</f>
        <v/>
      </c>
    </row>
    <row r="17">
      <c r="A17" t="inlineStr">
        <is>
          <t>LOY4</t>
        </is>
      </c>
      <c r="B17" s="6">
        <f>'Ops Storage'!F51/1000</f>
        <v/>
      </c>
      <c r="C17" s="6">
        <f>'Ops Storage'!F55/1000</f>
        <v/>
      </c>
      <c r="D17" s="6">
        <f>'Ops Storage'!F61/1000</f>
        <v/>
      </c>
    </row>
    <row r="18">
      <c r="A18" t="inlineStr">
        <is>
          <t>LOY5</t>
        </is>
      </c>
      <c r="B18" s="6">
        <f>'Ops Storage'!G51/1000</f>
        <v/>
      </c>
      <c r="C18" s="6">
        <f>'Ops Storage'!G55/1000</f>
        <v/>
      </c>
      <c r="D18" s="6">
        <f>'Ops Storage'!G61/1000</f>
        <v/>
      </c>
    </row>
    <row r="19">
      <c r="A19" t="inlineStr">
        <is>
          <t>LOY6</t>
        </is>
      </c>
      <c r="B19" s="6">
        <f>'Ops Storage'!H51/1000</f>
        <v/>
      </c>
      <c r="C19" s="6">
        <f>'Ops Storage'!H55/1000</f>
        <v/>
      </c>
      <c r="D19" s="6">
        <f>'Ops Storage'!H61/1000</f>
        <v/>
      </c>
    </row>
    <row r="20">
      <c r="A20" t="inlineStr">
        <is>
          <t>LOY7</t>
        </is>
      </c>
      <c r="B20" s="6">
        <f>'Ops Storage'!I51/1000</f>
        <v/>
      </c>
      <c r="C20" s="6">
        <f>'Ops Storage'!I55/1000</f>
        <v/>
      </c>
      <c r="D20" s="6">
        <f>'Ops Storage'!I61/1000</f>
        <v/>
      </c>
    </row>
    <row r="21">
      <c r="A21" t="inlineStr">
        <is>
          <t>LOY8</t>
        </is>
      </c>
      <c r="B21" s="6">
        <f>'Ops Storage'!J51/1000</f>
        <v/>
      </c>
      <c r="C21" s="6">
        <f>'Ops Storage'!J55/1000</f>
        <v/>
      </c>
      <c r="D21" s="6">
        <f>'Ops Storage'!J61/1000</f>
        <v/>
      </c>
    </row>
    <row r="22">
      <c r="A22" t="inlineStr">
        <is>
          <t>LOY9</t>
        </is>
      </c>
      <c r="B22" s="6">
        <f>'Ops Storage'!K51/1000</f>
        <v/>
      </c>
      <c r="C22" s="6">
        <f>'Ops Storage'!K55/1000</f>
        <v/>
      </c>
      <c r="D22" s="6">
        <f>'Ops Storage'!K61/1000</f>
        <v/>
      </c>
    </row>
    <row r="23">
      <c r="A23" t="inlineStr">
        <is>
          <t>LOY10</t>
        </is>
      </c>
      <c r="B23" s="6">
        <f>'Ops Storage'!L51/1000</f>
        <v/>
      </c>
      <c r="C23" s="6">
        <f>'Ops Storage'!L55/1000</f>
        <v/>
      </c>
      <c r="D23" s="6">
        <f>'Ops Storage'!L61/1000</f>
        <v/>
      </c>
    </row>
    <row r="25">
      <c r="A25" s="2" t="inlineStr">
        <is>
          <t>Year</t>
        </is>
      </c>
      <c r="B25" s="2" t="inlineStr">
        <is>
          <t>Raw Images (PB)</t>
        </is>
      </c>
      <c r="C25" s="2" t="inlineStr">
        <is>
          <t>Processed Images (PB)</t>
        </is>
      </c>
      <c r="D25" s="2" t="inlineStr">
        <is>
          <t>Co-added Images (PB)</t>
        </is>
      </c>
      <c r="E25" s="2" t="inlineStr">
        <is>
          <t>Parquet Tables (PB)</t>
        </is>
      </c>
      <c r="F25" s="2" t="inlineStr">
        <is>
          <t>Catalog Database (PB)</t>
        </is>
      </c>
    </row>
    <row r="26">
      <c r="A26" t="inlineStr">
        <is>
          <t>LOY1</t>
        </is>
      </c>
      <c r="B26" s="6">
        <f>'Ops Storage'!C57/1000</f>
        <v/>
      </c>
      <c r="C26" s="6">
        <f>'Ops Storage'!C58/1000</f>
        <v/>
      </c>
      <c r="D26" s="6">
        <f>'Ops Storage'!C59/1000</f>
        <v/>
      </c>
      <c r="E26" s="6">
        <f>'Ops Storage'!C60/1000</f>
        <v/>
      </c>
      <c r="F26" s="6">
        <f>('Ops Storage'!C42+'Ops Storage'!C43)/1000</f>
        <v/>
      </c>
    </row>
    <row r="27">
      <c r="A27" t="inlineStr">
        <is>
          <t>LOY2</t>
        </is>
      </c>
      <c r="B27" s="6">
        <f>'Ops Storage'!D57/1000</f>
        <v/>
      </c>
      <c r="C27" s="6">
        <f>'Ops Storage'!D58/1000</f>
        <v/>
      </c>
      <c r="D27" s="6">
        <f>'Ops Storage'!D59/1000</f>
        <v/>
      </c>
      <c r="E27" s="6">
        <f>'Ops Storage'!D60/1000</f>
        <v/>
      </c>
      <c r="F27" s="6">
        <f>('Ops Storage'!D42+'Ops Storage'!D43)/1000</f>
        <v/>
      </c>
    </row>
    <row r="28">
      <c r="A28" t="inlineStr">
        <is>
          <t>LOY3</t>
        </is>
      </c>
      <c r="B28" s="6">
        <f>'Ops Storage'!E57/1000</f>
        <v/>
      </c>
      <c r="C28" s="6">
        <f>'Ops Storage'!E58/1000</f>
        <v/>
      </c>
      <c r="D28" s="6">
        <f>'Ops Storage'!E59/1000</f>
        <v/>
      </c>
      <c r="E28" s="6">
        <f>'Ops Storage'!E60/1000</f>
        <v/>
      </c>
      <c r="F28" s="6">
        <f>('Ops Storage'!E42+'Ops Storage'!E43)/1000</f>
        <v/>
      </c>
    </row>
    <row r="29">
      <c r="A29" t="inlineStr">
        <is>
          <t>LOY4</t>
        </is>
      </c>
      <c r="B29" s="6">
        <f>'Ops Storage'!F57/1000</f>
        <v/>
      </c>
      <c r="C29" s="6">
        <f>'Ops Storage'!F58/1000</f>
        <v/>
      </c>
      <c r="D29" s="6">
        <f>'Ops Storage'!F59/1000</f>
        <v/>
      </c>
      <c r="E29" s="6">
        <f>'Ops Storage'!F60/1000</f>
        <v/>
      </c>
      <c r="F29" s="6">
        <f>('Ops Storage'!F42+'Ops Storage'!F43)/1000</f>
        <v/>
      </c>
    </row>
    <row r="30">
      <c r="A30" t="inlineStr">
        <is>
          <t>LOY5</t>
        </is>
      </c>
      <c r="B30" s="6">
        <f>'Ops Storage'!G57/1000</f>
        <v/>
      </c>
      <c r="C30" s="6">
        <f>'Ops Storage'!G58/1000</f>
        <v/>
      </c>
      <c r="D30" s="6">
        <f>'Ops Storage'!G59/1000</f>
        <v/>
      </c>
      <c r="E30" s="6">
        <f>'Ops Storage'!G60/1000</f>
        <v/>
      </c>
      <c r="F30" s="6">
        <f>('Ops Storage'!G42+'Ops Storage'!G43)/1000</f>
        <v/>
      </c>
    </row>
    <row r="31">
      <c r="A31" t="inlineStr">
        <is>
          <t>LOY6</t>
        </is>
      </c>
      <c r="B31" s="6">
        <f>'Ops Storage'!H57/1000</f>
        <v/>
      </c>
      <c r="C31" s="6">
        <f>'Ops Storage'!H58/1000</f>
        <v/>
      </c>
      <c r="D31" s="6">
        <f>'Ops Storage'!H59/1000</f>
        <v/>
      </c>
      <c r="E31" s="6">
        <f>'Ops Storage'!H60/1000</f>
        <v/>
      </c>
      <c r="F31" s="6">
        <f>('Ops Storage'!H42+'Ops Storage'!H43)/1000</f>
        <v/>
      </c>
    </row>
    <row r="32">
      <c r="A32" t="inlineStr">
        <is>
          <t>LOY7</t>
        </is>
      </c>
      <c r="B32" s="6">
        <f>'Ops Storage'!I57/1000</f>
        <v/>
      </c>
      <c r="C32" s="6">
        <f>'Ops Storage'!I58/1000</f>
        <v/>
      </c>
      <c r="D32" s="6">
        <f>'Ops Storage'!I59/1000</f>
        <v/>
      </c>
      <c r="E32" s="6">
        <f>'Ops Storage'!I60/1000</f>
        <v/>
      </c>
      <c r="F32" s="6">
        <f>('Ops Storage'!I42+'Ops Storage'!I43)/1000</f>
        <v/>
      </c>
    </row>
    <row r="33">
      <c r="A33" t="inlineStr">
        <is>
          <t>LOY8</t>
        </is>
      </c>
      <c r="B33" s="6">
        <f>'Ops Storage'!J57/1000</f>
        <v/>
      </c>
      <c r="C33" s="6">
        <f>'Ops Storage'!J58/1000</f>
        <v/>
      </c>
      <c r="D33" s="6">
        <f>'Ops Storage'!J59/1000</f>
        <v/>
      </c>
      <c r="E33" s="6">
        <f>'Ops Storage'!J60/1000</f>
        <v/>
      </c>
      <c r="F33" s="6">
        <f>('Ops Storage'!J42+'Ops Storage'!J43)/1000</f>
        <v/>
      </c>
    </row>
    <row r="34">
      <c r="A34" t="inlineStr">
        <is>
          <t>LOY9</t>
        </is>
      </c>
      <c r="B34" s="6">
        <f>'Ops Storage'!K57/1000</f>
        <v/>
      </c>
      <c r="C34" s="6">
        <f>'Ops Storage'!K58/1000</f>
        <v/>
      </c>
      <c r="D34" s="6">
        <f>'Ops Storage'!K59/1000</f>
        <v/>
      </c>
      <c r="E34" s="6">
        <f>'Ops Storage'!K60/1000</f>
        <v/>
      </c>
      <c r="F34" s="6">
        <f>('Ops Storage'!K42+'Ops Storage'!K43)/1000</f>
        <v/>
      </c>
    </row>
    <row r="35">
      <c r="A35" t="inlineStr">
        <is>
          <t>LOY10</t>
        </is>
      </c>
      <c r="B35" s="6">
        <f>'Ops Storage'!L57/1000</f>
        <v/>
      </c>
      <c r="C35" s="6">
        <f>'Ops Storage'!L58/1000</f>
        <v/>
      </c>
      <c r="D35" s="6">
        <f>'Ops Storage'!L59/1000</f>
        <v/>
      </c>
      <c r="E35" s="6">
        <f>'Ops Storage'!L60/1000</f>
        <v/>
      </c>
      <c r="F35" s="6">
        <f>('Ops Storage'!L42+'Ops Storage'!L43)/1000</f>
        <v/>
      </c>
    </row>
    <row r="37">
      <c r="A37" s="2" t="inlineStr">
        <is>
          <t>Year</t>
        </is>
      </c>
      <c r="B37" s="2" t="inlineStr">
        <is>
          <t>DRP Core-Hours</t>
        </is>
      </c>
    </row>
    <row r="38">
      <c r="A38" t="inlineStr">
        <is>
          <t>LOY1</t>
        </is>
      </c>
      <c r="B38" s="5">
        <f>'Ops Compute'!C3</f>
        <v/>
      </c>
    </row>
    <row r="39">
      <c r="A39" t="inlineStr">
        <is>
          <t>LOY2</t>
        </is>
      </c>
      <c r="B39" s="5">
        <f>'Ops Compute'!D3</f>
        <v/>
      </c>
    </row>
    <row r="40">
      <c r="A40" t="inlineStr">
        <is>
          <t>LOY3</t>
        </is>
      </c>
      <c r="B40" s="5">
        <f>'Ops Compute'!E3</f>
        <v/>
      </c>
    </row>
    <row r="41">
      <c r="A41" t="inlineStr">
        <is>
          <t>LOY4</t>
        </is>
      </c>
      <c r="B41" s="5">
        <f>'Ops Compute'!F3</f>
        <v/>
      </c>
    </row>
    <row r="42">
      <c r="A42" t="inlineStr">
        <is>
          <t>LOY5</t>
        </is>
      </c>
      <c r="B42" s="5">
        <f>'Ops Compute'!G3</f>
        <v/>
      </c>
    </row>
    <row r="43">
      <c r="A43" t="inlineStr">
        <is>
          <t>LOY6</t>
        </is>
      </c>
      <c r="B43" s="5">
        <f>'Ops Compute'!H3</f>
        <v/>
      </c>
    </row>
    <row r="44">
      <c r="A44" t="inlineStr">
        <is>
          <t>LOY7</t>
        </is>
      </c>
      <c r="B44" s="5">
        <f>'Ops Compute'!I3</f>
        <v/>
      </c>
    </row>
    <row r="45">
      <c r="A45" t="inlineStr">
        <is>
          <t>LOY8</t>
        </is>
      </c>
      <c r="B45" s="5">
        <f>'Ops Compute'!J3</f>
        <v/>
      </c>
    </row>
    <row r="46">
      <c r="A46" t="inlineStr">
        <is>
          <t>LOY9</t>
        </is>
      </c>
      <c r="B46" s="5">
        <f>'Ops Compute'!K3</f>
        <v/>
      </c>
    </row>
    <row r="47">
      <c r="A47" t="inlineStr">
        <is>
          <t>LOY10</t>
        </is>
      </c>
      <c r="B47" s="5">
        <f>'Ops Compute'!L3</f>
        <v/>
      </c>
    </row>
    <row r="49">
      <c r="A49" s="2" t="inlineStr">
        <is>
          <t>Year</t>
        </is>
      </c>
      <c r="B49" s="2" t="inlineStr">
        <is>
          <t>Annual Cost ($M)</t>
        </is>
      </c>
      <c r="C49" s="2" t="inlineStr">
        <is>
          <t>Cumulative Cost ($M)</t>
        </is>
      </c>
    </row>
    <row r="50">
      <c r="A50" t="inlineStr">
        <is>
          <t>LOY1</t>
        </is>
      </c>
      <c r="B50" s="8">
        <f>'Ops Costs'!C25</f>
        <v/>
      </c>
      <c r="C50" s="8">
        <f>'Ops Costs'!C26</f>
        <v/>
      </c>
    </row>
    <row r="51">
      <c r="A51" t="inlineStr">
        <is>
          <t>LOY2</t>
        </is>
      </c>
      <c r="B51" s="8">
        <f>'Ops Costs'!D25</f>
        <v/>
      </c>
      <c r="C51" s="8">
        <f>'Ops Costs'!D26</f>
        <v/>
      </c>
    </row>
    <row r="52">
      <c r="A52" t="inlineStr">
        <is>
          <t>LOY3</t>
        </is>
      </c>
      <c r="B52" s="8">
        <f>'Ops Costs'!E25</f>
        <v/>
      </c>
      <c r="C52" s="8">
        <f>'Ops Costs'!E26</f>
        <v/>
      </c>
    </row>
    <row r="53">
      <c r="A53" t="inlineStr">
        <is>
          <t>LOY4</t>
        </is>
      </c>
      <c r="B53" s="8">
        <f>'Ops Costs'!F25</f>
        <v/>
      </c>
      <c r="C53" s="8">
        <f>'Ops Costs'!F26</f>
        <v/>
      </c>
    </row>
    <row r="54">
      <c r="A54" t="inlineStr">
        <is>
          <t>LOY5</t>
        </is>
      </c>
      <c r="B54" s="8">
        <f>'Ops Costs'!G25</f>
        <v/>
      </c>
      <c r="C54" s="8">
        <f>'Ops Costs'!G26</f>
        <v/>
      </c>
    </row>
    <row r="55">
      <c r="A55" t="inlineStr">
        <is>
          <t>LOY6</t>
        </is>
      </c>
      <c r="B55" s="8">
        <f>'Ops Costs'!H25</f>
        <v/>
      </c>
      <c r="C55" s="8">
        <f>'Ops Costs'!H26</f>
        <v/>
      </c>
    </row>
    <row r="56">
      <c r="A56" t="inlineStr">
        <is>
          <t>LOY7</t>
        </is>
      </c>
      <c r="B56" s="8">
        <f>'Ops Costs'!I25</f>
        <v/>
      </c>
      <c r="C56" s="8">
        <f>'Ops Costs'!I26</f>
        <v/>
      </c>
    </row>
    <row r="57">
      <c r="A57" t="inlineStr">
        <is>
          <t>LOY8</t>
        </is>
      </c>
      <c r="B57" s="8">
        <f>'Ops Costs'!J25</f>
        <v/>
      </c>
      <c r="C57" s="8">
        <f>'Ops Costs'!J26</f>
        <v/>
      </c>
    </row>
    <row r="58">
      <c r="A58" t="inlineStr">
        <is>
          <t>LOY9</t>
        </is>
      </c>
      <c r="B58" s="8">
        <f>'Ops Costs'!K25</f>
        <v/>
      </c>
      <c r="C58" s="8">
        <f>'Ops Costs'!K26</f>
        <v/>
      </c>
    </row>
    <row r="59">
      <c r="A59" t="inlineStr">
        <is>
          <t>LOY10</t>
        </is>
      </c>
      <c r="B59" s="8">
        <f>'Ops Costs'!L25</f>
        <v/>
      </c>
      <c r="C59" s="8">
        <f>'Ops Costs'!L26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2026-03-19T22:00:40Z</dcterms:created>
  <dcterms:modified xsi:type="dcterms:W3CDTF">2026-03-19T22:00:40Z</dcterms:modified>
</cp:coreProperties>
</file>