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Numbers" sheetId="1" state="visible" r:id="rId1"/>
    <sheet name="All at USDF" sheetId="2" state="visible" r:id="rId2"/>
    <sheet name="Facility Split" sheetId="3" state="visible" r:id="rId3"/>
    <sheet name="Qserv" sheetId="4" state="visible" r:id="rId4"/>
    <sheet name="DF Template" sheetId="5" state="visible" r:id="rId5"/>
    <sheet name="Cost Inputs" sheetId="6" state="visible" r:id="rId6"/>
    <sheet name="USDF Pricing Forecast" sheetId="7" state="visible" r:id="rId7"/>
  </sheets>
  <definedNames/>
  <calcPr calcId="124519" fullCalcOnLoad="1"/>
</workbook>
</file>

<file path=xl/styles.xml><?xml version="1.0" encoding="utf-8"?>
<styleSheet xmlns="http://schemas.openxmlformats.org/spreadsheetml/2006/main">
  <numFmts count="6">
    <numFmt numFmtId="164" formatCode="0.00000000"/>
    <numFmt numFmtId="165" formatCode="0.000"/>
    <numFmt numFmtId="166" formatCode="#,##0.0"/>
    <numFmt numFmtId="167" formatCode="#,##0.000"/>
    <numFmt numFmtId="168" formatCode="$#,##0"/>
    <numFmt numFmtId="169" formatCode="$#,##0.00,,&quot;M&quot;"/>
  </numFmts>
  <fonts count="9">
    <font>
      <name val="Calibri"/>
      <family val="2"/>
      <color theme="1"/>
      <sz val="11"/>
      <scheme val="minor"/>
    </font>
    <font>
      <name val="Arial"/>
      <b val="1"/>
      <sz val="13"/>
    </font>
    <font>
      <name val="Arial"/>
      <i val="1"/>
      <color rgb="00666666"/>
      <sz val="9"/>
    </font>
    <font>
      <name val="Arial"/>
      <b val="1"/>
      <color rgb="00FFFFFF"/>
      <sz val="10"/>
    </font>
    <font>
      <name val="Arial"/>
      <sz val="10"/>
    </font>
    <font>
      <name val="Arial"/>
      <color rgb="000000FF"/>
      <sz val="10"/>
    </font>
    <font>
      <name val="Arial"/>
      <b val="1"/>
      <sz val="10"/>
    </font>
    <font>
      <name val="Arial"/>
      <color rgb="00008000"/>
      <sz val="10"/>
    </font>
    <font>
      <name val="Arial"/>
      <i val="1"/>
      <color rgb="00808080"/>
      <sz val="9"/>
    </font>
  </fonts>
  <fills count="5">
    <fill>
      <patternFill/>
    </fill>
    <fill>
      <patternFill patternType="gray125"/>
    </fill>
    <fill>
      <patternFill patternType="solid">
        <fgColor rgb="004472C4"/>
      </patternFill>
    </fill>
    <fill>
      <patternFill patternType="solid">
        <fgColor rgb="00FFFF00"/>
      </patternFill>
    </fill>
    <fill>
      <patternFill patternType="solid">
        <fgColor rgb="00D9E1F2"/>
      </patternFill>
    </fill>
  </fills>
  <borders count="2">
    <border>
      <left/>
      <right/>
      <top/>
      <bottom/>
      <diagonal/>
    </border>
    <border>
      <bottom style="thin">
        <color rgb="00BFBFBF"/>
      </bottom>
    </border>
  </borders>
  <cellStyleXfs count="1">
    <xf numFmtId="0" fontId="0" fillId="0" borderId="0"/>
  </cellStyleXfs>
  <cellXfs count="57">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1" pivotButton="0" quotePrefix="0" xfId="0"/>
    <xf numFmtId="3" fontId="5" fillId="0" borderId="1" pivotButton="0" quotePrefix="0" xfId="0"/>
    <xf numFmtId="0" fontId="2" fillId="0" borderId="1" pivotButton="0" quotePrefix="0" xfId="0"/>
    <xf numFmtId="164" fontId="5" fillId="0" borderId="1" pivotButton="0" quotePrefix="0" xfId="0"/>
    <xf numFmtId="165" fontId="5" fillId="0" borderId="1" pivotButton="0" quotePrefix="0" xfId="0"/>
    <xf numFmtId="3" fontId="4" fillId="0" borderId="1" pivotButton="0" quotePrefix="0" xfId="0"/>
    <xf numFmtId="4" fontId="5" fillId="3" borderId="1" pivotButton="0" quotePrefix="0" xfId="0"/>
    <xf numFmtId="10" fontId="5" fillId="0" borderId="1" pivotButton="0" quotePrefix="0" xfId="0"/>
    <xf numFmtId="166" fontId="5" fillId="0" borderId="1" pivotButton="0" quotePrefix="0" xfId="0"/>
    <xf numFmtId="4" fontId="5" fillId="0" borderId="1" pivotButton="0" quotePrefix="0" xfId="0"/>
    <xf numFmtId="166" fontId="4" fillId="0" borderId="1" pivotButton="0" quotePrefix="0" xfId="0"/>
    <xf numFmtId="9" fontId="5" fillId="3" borderId="1" pivotButton="0" quotePrefix="0" xfId="0"/>
    <xf numFmtId="3" fontId="5" fillId="3" borderId="1" pivotButton="0" quotePrefix="0" xfId="0"/>
    <xf numFmtId="9" fontId="5" fillId="0" borderId="1" pivotButton="0" quotePrefix="0" xfId="0"/>
    <xf numFmtId="166" fontId="5" fillId="3" borderId="1" pivotButton="0" quotePrefix="0" xfId="0"/>
    <xf numFmtId="9" fontId="4" fillId="0" borderId="1" pivotButton="0" quotePrefix="0" xfId="0"/>
    <xf numFmtId="165" fontId="5" fillId="3" borderId="1" pivotButton="0" quotePrefix="0" xfId="0"/>
    <xf numFmtId="0" fontId="6" fillId="4" borderId="0" pivotButton="0" quotePrefix="0" xfId="0"/>
    <xf numFmtId="0" fontId="4" fillId="0" borderId="0" pivotButton="0" quotePrefix="0" xfId="0"/>
    <xf numFmtId="167" fontId="5" fillId="0" borderId="0" pivotButton="0" quotePrefix="0" xfId="0"/>
    <xf numFmtId="3" fontId="5" fillId="0" borderId="0" pivotButton="0" quotePrefix="0" xfId="0"/>
    <xf numFmtId="0" fontId="6" fillId="0" borderId="0" pivotButton="0" quotePrefix="0" xfId="0"/>
    <xf numFmtId="166" fontId="4" fillId="0" borderId="0" pivotButton="0" quotePrefix="0" xfId="0"/>
    <xf numFmtId="3" fontId="4" fillId="0" borderId="0" pivotButton="0" quotePrefix="0" xfId="0"/>
    <xf numFmtId="0" fontId="2" fillId="0" borderId="0" applyAlignment="1" pivotButton="0" quotePrefix="0" xfId="0">
      <alignment wrapText="1"/>
    </xf>
    <xf numFmtId="4" fontId="7" fillId="0" borderId="0" pivotButton="0" quotePrefix="0" xfId="0"/>
    <xf numFmtId="4" fontId="4" fillId="0" borderId="0" pivotButton="0" quotePrefix="0" xfId="0"/>
    <xf numFmtId="3" fontId="7" fillId="0" borderId="0" pivotButton="0" quotePrefix="0" xfId="0"/>
    <xf numFmtId="9" fontId="4" fillId="0" borderId="0" pivotButton="0" quotePrefix="0" xfId="0"/>
    <xf numFmtId="0" fontId="8" fillId="0" borderId="0" pivotButton="0" quotePrefix="0" xfId="0"/>
    <xf numFmtId="3" fontId="8" fillId="0" borderId="0" pivotButton="0" quotePrefix="0" xfId="0"/>
    <xf numFmtId="9" fontId="5" fillId="3" borderId="0" pivotButton="0" quotePrefix="0" xfId="0"/>
    <xf numFmtId="166" fontId="7" fillId="0" borderId="0" pivotButton="0" quotePrefix="0" xfId="0"/>
    <xf numFmtId="0" fontId="4" fillId="0" borderId="0" applyAlignment="1" pivotButton="0" quotePrefix="0" xfId="0">
      <alignment wrapText="1"/>
    </xf>
    <xf numFmtId="166" fontId="5" fillId="0" borderId="0" pivotButton="0" quotePrefix="0" xfId="0"/>
    <xf numFmtId="167" fontId="8" fillId="0" borderId="0" pivotButton="0" quotePrefix="0" xfId="0"/>
    <xf numFmtId="4" fontId="8" fillId="0" borderId="0" pivotButton="0" quotePrefix="0" xfId="0"/>
    <xf numFmtId="166" fontId="8" fillId="0" borderId="0" pivotButton="0" quotePrefix="0" xfId="0"/>
    <xf numFmtId="0" fontId="5" fillId="3" borderId="0" pivotButton="0" quotePrefix="0" xfId="0"/>
    <xf numFmtId="9" fontId="7" fillId="0" borderId="0" pivotButton="0" quotePrefix="0" xfId="0"/>
    <xf numFmtId="3" fontId="5" fillId="3" borderId="0" pivotButton="0" quotePrefix="0" xfId="0"/>
    <xf numFmtId="3" fontId="0" fillId="0" borderId="0" pivotButton="0" quotePrefix="0" xfId="0"/>
    <xf numFmtId="9" fontId="0" fillId="0" borderId="0" pivotButton="0" quotePrefix="0" xfId="0"/>
    <xf numFmtId="168" fontId="5" fillId="3" borderId="1" pivotButton="0" quotePrefix="0" xfId="0"/>
    <xf numFmtId="0" fontId="0" fillId="0" borderId="1" pivotButton="0" quotePrefix="0" xfId="0"/>
    <xf numFmtId="168" fontId="5" fillId="0" borderId="1" pivotButton="0" quotePrefix="0" xfId="0"/>
    <xf numFmtId="3" fontId="6" fillId="0" borderId="0" pivotButton="0" quotePrefix="0" xfId="0"/>
    <xf numFmtId="168" fontId="4" fillId="0" borderId="0" pivotButton="0" quotePrefix="0" xfId="0"/>
    <xf numFmtId="168" fontId="6" fillId="0" borderId="0" pivotButton="0" quotePrefix="0" xfId="0"/>
    <xf numFmtId="169" fontId="8" fillId="0" borderId="0" pivotButton="0" quotePrefix="0" xfId="0"/>
    <xf numFmtId="169" fontId="6" fillId="0" borderId="0" pivotButton="0" quotePrefix="0" xfId="0"/>
    <xf numFmtId="169"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2"/>
  <sheetViews>
    <sheetView workbookViewId="0">
      <selection activeCell="A1" sqref="A1"/>
    </sheetView>
  </sheetViews>
  <sheetFormatPr baseColWidth="8" defaultRowHeight="15"/>
  <cols>
    <col width="50" customWidth="1" min="1" max="1"/>
    <col width="16" customWidth="1" min="2" max="2"/>
    <col width="14" customWidth="1" min="3" max="3"/>
    <col width="46" customWidth="1" min="4" max="4"/>
  </cols>
  <sheetData>
    <row r="1">
      <c r="A1" s="1" t="inlineStr">
        <is>
          <t>Rubin USDF Model 2026 — KEY NUMBERS (reference tab)</t>
        </is>
      </c>
    </row>
    <row r="2">
      <c r="A2" s="2" t="inlineStr">
        <is>
          <t>All sizing and data-product raw numbers live here; every other tab except Cost Inputs is calculated from this tab. Blue = raw input · Black = formula · Yellow = key assumption · Column D = alternate units or how it is derived.</t>
        </is>
      </c>
    </row>
    <row r="3">
      <c r="A3" s="3" t="inlineStr">
        <is>
          <t>OBSERVING</t>
        </is>
      </c>
      <c r="B3" s="4" t="n"/>
      <c r="C3" s="4" t="n"/>
      <c r="D3" s="4" t="n"/>
    </row>
    <row r="4">
      <c r="A4" s="5" t="inlineStr">
        <is>
          <t>Observing nights per year</t>
        </is>
      </c>
      <c r="B4" s="6" t="n">
        <v>300</v>
      </c>
      <c r="C4" s="5" t="inlineStr">
        <is>
          <t>nights</t>
        </is>
      </c>
      <c r="D4" s="7" t="inlineStr">
        <is>
          <t>330 scheduled less planned/unplanned outages</t>
        </is>
      </c>
    </row>
    <row r="5">
      <c r="A5" s="5" t="inlineStr">
        <is>
          <t>Visits per night</t>
        </is>
      </c>
      <c r="B5" s="6" t="n">
        <v>700</v>
      </c>
      <c r="C5" s="5" t="inlineStr">
        <is>
          <t>visits</t>
        </is>
      </c>
      <c r="D5" s="7" t="inlineStr">
        <is>
          <t>2.1M visits / 10 yr / 300 nights</t>
        </is>
      </c>
    </row>
    <row r="6">
      <c r="A6" s="5" t="inlineStr">
        <is>
          <t>Image size (logical)</t>
        </is>
      </c>
      <c r="B6" s="8" t="n">
        <v>0.00819222</v>
      </c>
      <c r="C6" s="5" t="inlineStr">
        <is>
          <t>TB</t>
        </is>
      </c>
      <c r="D6" s="7" t="inlineStr">
        <is>
          <t>8.19 GB per exposure</t>
        </is>
      </c>
    </row>
    <row r="7">
      <c r="A7" s="5" t="inlineStr">
        <is>
          <t>Raw compression ratio</t>
        </is>
      </c>
      <c r="B7" s="9" t="n">
        <v>0.464</v>
      </c>
      <c r="C7" s="5" t="inlineStr">
        <is>
          <t>ratio</t>
        </is>
      </c>
      <c r="D7" s="7" t="inlineStr">
        <is>
          <t>3.8 GB on wire / 8.19 GB logical</t>
        </is>
      </c>
    </row>
    <row r="8">
      <c r="A8" s="5" t="inlineStr">
        <is>
          <t>Input data per survey year</t>
        </is>
      </c>
      <c r="B8" s="10">
        <f>B4*B5*B6*B7</f>
        <v/>
      </c>
      <c r="C8" s="5" t="inlineStr">
        <is>
          <t>TB</t>
        </is>
      </c>
      <c r="D8" s="7" t="inlineStr">
        <is>
          <t>nights x visits x image size x compression</t>
        </is>
      </c>
    </row>
    <row r="10">
      <c r="A10" s="3" t="inlineStr">
        <is>
          <t>DRP COMPUTE</t>
        </is>
      </c>
      <c r="B10" s="4" t="n"/>
      <c r="C10" s="4" t="n"/>
      <c r="D10" s="4" t="n"/>
    </row>
    <row r="11">
      <c r="A11" s="5" t="inlineStr">
        <is>
          <t>DRP core-hours per input TB</t>
        </is>
      </c>
      <c r="B11" s="6" t="n">
        <v>20571</v>
      </c>
      <c r="C11" s="5" t="inlineStr">
        <is>
          <t>ch/TB</t>
        </is>
      </c>
      <c r="D11" s="7" t="inlineStr">
        <is>
          <t>calibrated: 16.416M core-hrs / 798 TB</t>
        </is>
      </c>
    </row>
    <row r="12">
      <c r="A12" s="5" t="inlineStr">
        <is>
          <t>DR1 compute (measured basis)</t>
        </is>
      </c>
      <c r="B12" s="6" t="n">
        <v>16416000</v>
      </c>
      <c r="C12" s="5" t="inlineStr">
        <is>
          <t>core-hrs</t>
        </is>
      </c>
      <c r="D12" s="7" t="inlineStr">
        <is>
          <t>reference; equals 5,700 node-days at 120 cores/node</t>
        </is>
      </c>
    </row>
    <row r="13">
      <c r="A13" s="5" t="inlineStr">
        <is>
          <t>DP2 compute (actual, on Milano)</t>
        </is>
      </c>
      <c r="B13" s="6" t="n">
        <v>970</v>
      </c>
      <c r="C13" s="5" t="inlineStr">
        <is>
          <t>node-days</t>
        </is>
      </c>
      <c r="D13" s="7" t="inlineStr">
        <is>
          <t>reference; equals 2.79M core-hours at 120 cores/node</t>
        </is>
      </c>
    </row>
    <row r="14">
      <c r="A14" s="5" t="inlineStr">
        <is>
          <t>Cores per batch node</t>
        </is>
      </c>
      <c r="B14" s="6" t="n">
        <v>120</v>
      </c>
      <c r="C14" s="5" t="inlineStr">
        <is>
          <t>cores</t>
        </is>
      </c>
      <c r="D14" s="7" t="inlineStr">
        <is>
          <t>Milano and Torino both 120</t>
        </is>
      </c>
    </row>
    <row r="15">
      <c r="A15" s="5" t="inlineStr">
        <is>
          <t>DRP processing window</t>
        </is>
      </c>
      <c r="B15" s="6" t="n">
        <v>200</v>
      </c>
      <c r="C15" s="5" t="inlineStr">
        <is>
          <t>days</t>
        </is>
      </c>
      <c r="D15" s="7" t="inlineStr">
        <is>
          <t>assumed campaign length</t>
        </is>
      </c>
    </row>
    <row r="16">
      <c r="A16" s="5" t="inlineStr">
        <is>
          <t>Idle / inter-stage multiplier</t>
        </is>
      </c>
      <c r="B16" s="11" t="n">
        <v>1.35</v>
      </c>
      <c r="C16" s="5" t="inlineStr">
        <is>
          <t>x</t>
        </is>
      </c>
      <c r="D16" s="7" t="inlineStr">
        <is>
          <t>placeholder in suggested 1.3-1.5 range</t>
        </is>
      </c>
    </row>
    <row r="17">
      <c r="A17" s="5" t="inlineStr">
        <is>
          <t>USDF RSP extra load fraction</t>
        </is>
      </c>
      <c r="B17" s="12" t="n">
        <v>0.01</v>
      </c>
      <c r="C17" s="5" t="inlineStr">
        <is>
          <t>fraction</t>
        </is>
      </c>
      <c r="D17" s="7" t="inlineStr">
        <is>
          <t>USDF only; partner facilities do not carry this</t>
        </is>
      </c>
    </row>
    <row r="18">
      <c r="A18" s="5" t="inlineStr">
        <is>
          <t>Developer / pilot batch load</t>
        </is>
      </c>
      <c r="B18" s="6" t="n">
        <v>55</v>
      </c>
      <c r="C18" s="5" t="inlineStr">
        <is>
          <t>node-days/yr</t>
        </is>
      </c>
      <c r="D18" s="7" t="inlineStr">
        <is>
          <t>observed ~165 node-days over 3 years</t>
        </is>
      </c>
    </row>
    <row r="19">
      <c r="A19" s="5" t="inlineStr">
        <is>
          <t>Safety margin</t>
        </is>
      </c>
      <c r="B19" s="13" t="n">
        <v>1.5</v>
      </c>
      <c r="C19" s="5" t="inlineStr">
        <is>
          <t>x</t>
        </is>
      </c>
      <c r="D19" s="7" t="inlineStr">
        <is>
          <t>applied as a separate line, not inside peak-core demand</t>
        </is>
      </c>
    </row>
    <row r="21">
      <c r="A21" s="3" t="inlineStr">
        <is>
          <t>DRP STORAGE  (DR1 basis — see dataset-type breakdown at foot of tab)</t>
        </is>
      </c>
      <c r="B21" s="4" t="n"/>
      <c r="C21" s="4" t="n"/>
      <c r="D21" s="4" t="n"/>
    </row>
    <row r="22">
      <c r="A22" s="5" t="inlineStr">
        <is>
          <t>DP2 total DRP output (actual)</t>
        </is>
      </c>
      <c r="B22" s="14" t="n">
        <v>7.43</v>
      </c>
      <c r="C22" s="5" t="inlineStr">
        <is>
          <t>PB</t>
        </is>
      </c>
      <c r="D22" s="7" t="inlineStr">
        <is>
          <t>campaign as run; fitted inside the 30 PB installed</t>
        </is>
      </c>
    </row>
    <row r="23">
      <c r="A23" s="5" t="inlineStr">
        <is>
          <t>DP2 release products (actual)</t>
        </is>
      </c>
      <c r="B23" s="14" t="n">
        <v>0.32</v>
      </c>
      <c r="C23" s="5" t="inlineStr">
        <is>
          <t>PB</t>
        </is>
      </c>
      <c r="D23" s="7" t="inlineStr"/>
    </row>
    <row r="24">
      <c r="A24" s="5" t="inlineStr">
        <is>
          <t>DR-era campaign output per survey-yr (BYTES WRITTEN)</t>
        </is>
      </c>
      <c r="B24" s="15">
        <f>B120</f>
        <v/>
      </c>
      <c r="C24" s="5" t="inlineStr">
        <is>
          <t>PB</t>
        </is>
      </c>
      <c r="D24" s="7" t="inlineStr">
        <is>
          <t>total written over the campaign; equals the dataset-type table total below</t>
        </is>
      </c>
    </row>
    <row r="25">
      <c r="A25" s="5" t="inlineStr">
        <is>
          <t xml:space="preserve">  of which release products (RETAINED)</t>
        </is>
      </c>
      <c r="B25" s="13" t="n">
        <v>1.6</v>
      </c>
      <c r="C25" s="5" t="inlineStr">
        <is>
          <t>PB</t>
        </is>
      </c>
      <c r="D25" s="7" t="inlineStr">
        <is>
          <t>visit_image compressed + standardized catalogs</t>
        </is>
      </c>
    </row>
    <row r="26">
      <c r="A26" s="5" t="inlineStr">
        <is>
          <t xml:space="preserve">  of which intermediates (TRANSIENT)</t>
        </is>
      </c>
      <c r="B26" s="15">
        <f>B24-B25</f>
        <v/>
      </c>
      <c r="C26" s="5" t="inlineStr">
        <is>
          <t>PB</t>
        </is>
      </c>
      <c r="D26" s="7" t="inlineStr">
        <is>
          <t>warps, templates, predetection images, footprints</t>
        </is>
      </c>
    </row>
    <row r="27">
      <c r="A27" s="5" t="inlineStr">
        <is>
          <t>Live-intermediate fraction (HIGH WATERMARK)</t>
        </is>
      </c>
      <c r="B27" s="16" t="n">
        <v>0.35</v>
      </c>
      <c r="C27" s="5" t="inlineStr">
        <is>
          <t>fraction</t>
        </is>
      </c>
      <c r="D27" s="7" t="inlineStr">
        <is>
          <t>UNMEASURED. Fraction of intermediates resident at once; dominates the disk budget</t>
        </is>
      </c>
    </row>
    <row r="28">
      <c r="A28" s="5" t="inlineStr">
        <is>
          <t>Release retention window</t>
        </is>
      </c>
      <c r="B28" s="17" t="n">
        <v>3</v>
      </c>
      <c r="C28" s="5" t="inlineStr">
        <is>
          <t>releases</t>
        </is>
      </c>
      <c r="D28" s="7" t="inlineStr">
        <is>
          <t>how many data releases stay on floor</t>
        </is>
      </c>
    </row>
    <row r="29">
      <c r="A29" s="5" t="inlineStr">
        <is>
          <t>Raw + calibration per survey year</t>
        </is>
      </c>
      <c r="B29" s="6" t="n">
        <v>1117</v>
      </c>
      <c r="C29" s="5" t="inlineStr">
        <is>
          <t>TB</t>
        </is>
      </c>
      <c r="D29" s="7" t="inlineStr">
        <is>
          <t>science + calibration + engineering frames, compressed</t>
        </is>
      </c>
    </row>
    <row r="30">
      <c r="A30" s="5" t="inlineStr">
        <is>
          <t>Prompt Tier-1 per year</t>
        </is>
      </c>
      <c r="B30" s="6" t="n">
        <v>1680</v>
      </c>
      <c r="C30" s="5" t="inlineStr">
        <is>
          <t>TB</t>
        </is>
      </c>
      <c r="D30" s="7" t="inlineStr">
        <is>
          <t>5.6 TB/night x 300 nights, long-term retention</t>
        </is>
      </c>
    </row>
    <row r="31">
      <c r="A31" s="5" t="inlineStr">
        <is>
          <t>Prompt Tier-2 (rolling)</t>
        </is>
      </c>
      <c r="B31" s="6" t="n">
        <v>180</v>
      </c>
      <c r="C31" s="5" t="inlineStr">
        <is>
          <t>TB</t>
        </is>
      </c>
      <c r="D31" s="7" t="inlineStr">
        <is>
          <t>6.0 TB/night x 30-day window</t>
        </is>
      </c>
    </row>
    <row r="32">
      <c r="A32" s="5" t="inlineStr">
        <is>
          <t>Other on-floor allowance</t>
        </is>
      </c>
      <c r="B32" s="16" t="n">
        <v>0.2</v>
      </c>
      <c r="C32" s="5" t="inlineStr">
        <is>
          <t>fraction</t>
        </is>
      </c>
      <c r="D32" s="7" t="inlineStr">
        <is>
          <t>user areas, APDB, sims, misc — applied to the on-floor total</t>
        </is>
      </c>
    </row>
    <row r="34">
      <c r="A34" s="3" t="inlineStr">
        <is>
          <t>TAPE / ARCHIVE (cumulative — archived data is never deleted)</t>
        </is>
      </c>
      <c r="B34" s="4" t="n"/>
      <c r="C34" s="4" t="n"/>
      <c r="D34" s="4" t="n"/>
    </row>
    <row r="35">
      <c r="A35" s="5" t="inlineStr">
        <is>
          <t>Raw + calibration copies held on USDF tape</t>
        </is>
      </c>
      <c r="B35" s="6" t="n">
        <v>1</v>
      </c>
      <c r="C35" s="5" t="inlineStr">
        <is>
          <t>copies</t>
        </is>
      </c>
      <c r="D35" s="7" t="inlineStr">
        <is>
          <t>further copies of raw data are held at partner facilities, not costed here</t>
        </is>
      </c>
    </row>
    <row r="36">
      <c r="A36" s="5" t="inlineStr">
        <is>
          <t>Release products archived to tape</t>
        </is>
      </c>
      <c r="B36" s="14" t="n">
        <v>1</v>
      </c>
      <c r="C36" s="5" t="inlineStr">
        <is>
          <t>fraction of releases</t>
        </is>
      </c>
      <c r="D36" s="7" t="inlineStr">
        <is>
          <t>1.0 = every data release is preserved permanently</t>
        </is>
      </c>
    </row>
    <row r="37">
      <c r="A37" s="5" t="inlineStr">
        <is>
          <t>On-floor data backed up to tape</t>
        </is>
      </c>
      <c r="B37" s="16" t="n">
        <v>0</v>
      </c>
      <c r="C37" s="5" t="inlineStr">
        <is>
          <t>fraction of on-floor</t>
        </is>
      </c>
      <c r="D37" s="7" t="inlineStr">
        <is>
          <t>0 = no NEW backup modelled; a separate backup system already exists, see the row below</t>
        </is>
      </c>
    </row>
    <row r="38">
      <c r="A38" s="5" t="inlineStr">
        <is>
          <t>Archive already on the floor (HPSS)</t>
        </is>
      </c>
      <c r="B38" s="17" t="n">
        <v>8200</v>
      </c>
      <c r="C38" s="5" t="inlineStr">
        <is>
          <t>TB</t>
        </is>
      </c>
      <c r="D38" s="7" t="inlineStr">
        <is>
          <t>UNVERIFIED: only a fraction of this could be independently attested</t>
        </is>
      </c>
    </row>
    <row r="39">
      <c r="A39" s="5" t="inlineStr">
        <is>
          <t>TSM backup already on the floor</t>
        </is>
      </c>
      <c r="B39" s="6" t="n">
        <v>10800</v>
      </c>
      <c r="C39" s="5" t="inlineStr">
        <is>
          <t>TB</t>
        </is>
      </c>
      <c r="D39" s="7" t="inlineStr">
        <is>
          <t>reference only: not projected forward</t>
        </is>
      </c>
    </row>
    <row r="40">
      <c r="A40" s="5" t="inlineStr">
        <is>
          <t>Tape capacity assumed available to Rubin</t>
        </is>
      </c>
      <c r="B40" s="17" t="n">
        <v>66300</v>
      </c>
      <c r="C40" s="5" t="inlineStr">
        <is>
          <t>TB</t>
        </is>
      </c>
      <c r="D40" s="7" t="inlineStr">
        <is>
          <t>UNVERIFIED. From a hedged reading of a shared-facility accounting system; the facility is multi-tenant and library slots / drive bandwidth are shared. Set to 0 for the no-headroom case</t>
        </is>
      </c>
    </row>
    <row r="42">
      <c r="A42" s="3" t="inlineStr">
        <is>
          <t>ALERT PRODUCTION / PROMPT (USDF only — partner facilities do not run AP)</t>
        </is>
      </c>
      <c r="B42" s="4" t="n"/>
      <c r="C42" s="4" t="n"/>
      <c r="D42" s="4" t="n"/>
    </row>
    <row r="43">
      <c r="A43" s="5" t="inlineStr">
        <is>
          <t>Alert Production cores</t>
        </is>
      </c>
      <c r="B43" s="6" t="n">
        <v>1188</v>
      </c>
      <c r="C43" s="5" t="inlineStr">
        <is>
          <t>cores</t>
        </is>
      </c>
      <c r="D43" s="7" t="inlineStr">
        <is>
          <t>runs nightly on Kubernetes, not on the batch fleet</t>
        </is>
      </c>
    </row>
    <row r="44">
      <c r="A44" s="5" t="inlineStr">
        <is>
          <t>Alerts per visit</t>
        </is>
      </c>
      <c r="B44" s="6" t="n">
        <v>10000</v>
      </c>
      <c r="C44" s="5" t="inlineStr">
        <is>
          <t>alerts</t>
        </is>
      </c>
      <c r="D44" s="7" t="inlineStr">
        <is>
          <t>about 7M alerts per night at 700 visits</t>
        </is>
      </c>
    </row>
    <row r="45">
      <c r="A45" s="5" t="inlineStr">
        <is>
          <t>Cores per K8s node</t>
        </is>
      </c>
      <c r="B45" s="17" t="n">
        <v>48</v>
      </c>
      <c r="C45" s="5" t="inlineStr">
        <is>
          <t>cores</t>
        </is>
      </c>
      <c r="D45" s="7" t="inlineStr">
        <is>
          <t>planner figure; the hardware is 32c/64HT — reconciliation pending</t>
        </is>
      </c>
    </row>
    <row r="47">
      <c r="A47" s="3" t="inlineStr">
        <is>
          <t>USER / RSP / DAC COMPUTE (USDF only)</t>
        </is>
      </c>
      <c r="B47" s="4" t="n"/>
      <c r="C47" s="4" t="n"/>
      <c r="D47" s="4" t="n"/>
    </row>
    <row r="48">
      <c r="A48" s="5" t="inlineStr">
        <is>
          <t>DAC / LSP cores as fraction of DRP</t>
        </is>
      </c>
      <c r="B48" s="18" t="n">
        <v>0.1</v>
      </c>
      <c r="C48" s="5" t="inlineStr">
        <is>
          <t>fraction</t>
        </is>
      </c>
      <c r="D48" s="7" t="inlineStr">
        <is>
          <t>the standing user-compute allowance, as a fraction of DRP</t>
        </is>
      </c>
    </row>
    <row r="49">
      <c r="A49" s="5" t="inlineStr">
        <is>
          <t>Staff cores as fraction of DAC</t>
        </is>
      </c>
      <c r="B49" s="18" t="n">
        <v>0.1</v>
      </c>
      <c r="C49" s="5" t="inlineStr">
        <is>
          <t>fraction</t>
        </is>
      </c>
      <c r="D49" s="7" t="inlineStr"/>
    </row>
    <row r="51">
      <c r="A51" s="3" t="inlineStr">
        <is>
          <t>APDB / CASSANDRA</t>
        </is>
      </c>
      <c r="B51" s="4" t="n"/>
      <c r="C51" s="4" t="n"/>
      <c r="D51" s="4" t="n"/>
    </row>
    <row r="52">
      <c r="A52" s="5" t="inlineStr">
        <is>
          <t>APDB reference size</t>
        </is>
      </c>
      <c r="B52" s="13" t="n">
        <v>4.5</v>
      </c>
      <c r="C52" s="5" t="inlineStr">
        <is>
          <t>TB</t>
        </is>
      </c>
      <c r="D52" s="7" t="inlineStr">
        <is>
          <t>measured at the reference visit count below</t>
        </is>
      </c>
    </row>
    <row r="53">
      <c r="A53" s="5" t="inlineStr">
        <is>
          <t>APDB reference visits</t>
        </is>
      </c>
      <c r="B53" s="6" t="n">
        <v>57000</v>
      </c>
      <c r="C53" s="5" t="inlineStr">
        <is>
          <t>visits</t>
        </is>
      </c>
      <c r="D53" s="7" t="inlineStr">
        <is>
          <t>APDB scales with cumulative visits</t>
        </is>
      </c>
    </row>
    <row r="54">
      <c r="A54" s="5" t="inlineStr">
        <is>
          <t>Cassandra nodes deployed</t>
        </is>
      </c>
      <c r="B54" s="6" t="n">
        <v>12</v>
      </c>
      <c r="C54" s="5" t="inlineStr">
        <is>
          <t>nodes</t>
        </is>
      </c>
      <c r="D54" s="7" t="inlineStr"/>
    </row>
    <row r="55">
      <c r="A55" s="5" t="inlineStr">
        <is>
          <t>APDB off-site backup at end of survey</t>
        </is>
      </c>
      <c r="B55" s="17" t="n">
        <v>100</v>
      </c>
      <c r="C55" s="5" t="inlineStr">
        <is>
          <t>TB</t>
        </is>
      </c>
      <c r="D55" s="7" t="inlineStr">
        <is>
          <t>order-of-magnitude projection; about 0.5 TB today</t>
        </is>
      </c>
    </row>
    <row r="57">
      <c r="A57" s="3" t="inlineStr">
        <is>
          <t>USDF FLEET (2026)</t>
        </is>
      </c>
      <c r="B57" s="4" t="n"/>
      <c r="C57" s="4" t="n"/>
      <c r="D57" s="4" t="n"/>
    </row>
    <row r="58">
      <c r="A58" s="5" t="inlineStr">
        <is>
          <t>Batch nodes</t>
        </is>
      </c>
      <c r="B58" s="10">
        <f>B60+B61</f>
        <v/>
      </c>
      <c r="C58" s="5" t="inlineStr">
        <is>
          <t>nodes</t>
        </is>
      </c>
      <c r="D58" s="7" t="inlineStr">
        <is>
          <t>110 Milano + 35 Torino</t>
        </is>
      </c>
    </row>
    <row r="59">
      <c r="A59" s="5" t="inlineStr">
        <is>
          <t>Batch cores (raw)</t>
        </is>
      </c>
      <c r="B59" s="10">
        <f>B58*B14</f>
        <v/>
      </c>
      <c r="C59" s="5" t="inlineStr">
        <is>
          <t>cores</t>
        </is>
      </c>
      <c r="D59" s="7" t="inlineStr">
        <is>
          <t>raw core count, ignores per-core speed</t>
        </is>
      </c>
    </row>
    <row r="60">
      <c r="A60" s="5" t="inlineStr">
        <is>
          <t>Milano nodes</t>
        </is>
      </c>
      <c r="B60" s="6" t="n">
        <v>110</v>
      </c>
      <c r="C60" s="5" t="inlineStr">
        <is>
          <t>nodes</t>
        </is>
      </c>
      <c r="D60" s="7" t="inlineStr"/>
    </row>
    <row r="61">
      <c r="A61" s="5" t="inlineStr">
        <is>
          <t>Torino nodes</t>
        </is>
      </c>
      <c r="B61" s="6" t="n">
        <v>35</v>
      </c>
      <c r="C61" s="5" t="inlineStr">
        <is>
          <t>nodes</t>
        </is>
      </c>
      <c r="D61" s="7" t="inlineStr"/>
    </row>
    <row r="62">
      <c r="A62" s="5" t="inlineStr">
        <is>
          <t>Torino per-core speedup vs Milano</t>
        </is>
      </c>
      <c r="B62" s="19" t="n">
        <v>2</v>
      </c>
      <c r="C62" s="5" t="inlineStr">
        <is>
          <t>x</t>
        </is>
      </c>
      <c r="D62" s="7" t="inlineStr">
        <is>
          <t>measured across DP2-era tasks; higher clock and memory bandwidth</t>
        </is>
      </c>
    </row>
    <row r="63">
      <c r="A63" s="5" t="inlineStr">
        <is>
          <t>Fleet capacity, Milano-equivalent cores</t>
        </is>
      </c>
      <c r="B63" s="10">
        <f>(B60+B61*B62)*B14</f>
        <v/>
      </c>
      <c r="C63" s="5" t="inlineStr">
        <is>
          <t>cores</t>
        </is>
      </c>
      <c r="D63" s="7" t="inlineStr">
        <is>
          <t>demand is Milano-calibrated, so capacity is expressed the same way</t>
        </is>
      </c>
    </row>
    <row r="64">
      <c r="A64" s="5" t="inlineStr">
        <is>
          <t>Installed storage</t>
        </is>
      </c>
      <c r="B64" s="6" t="n">
        <v>30</v>
      </c>
      <c r="C64" s="5" t="inlineStr">
        <is>
          <t>PB</t>
        </is>
      </c>
      <c r="D64" s="7" t="inlineStr"/>
    </row>
    <row r="65">
      <c r="A65" s="5" t="inlineStr">
        <is>
          <t>K8s nodes deployed</t>
        </is>
      </c>
      <c r="B65" s="6" t="n">
        <v>75</v>
      </c>
      <c r="C65" s="5" t="inlineStr">
        <is>
          <t>nodes</t>
        </is>
      </c>
      <c r="D65" s="7" t="inlineStr"/>
    </row>
    <row r="66">
      <c r="A66" s="5" t="inlineStr">
        <is>
          <t>Interactive nodes</t>
        </is>
      </c>
      <c r="B66" s="6" t="n">
        <v>11</v>
      </c>
      <c r="C66" s="5" t="inlineStr">
        <is>
          <t>nodes</t>
        </is>
      </c>
      <c r="D66" s="7" t="inlineStr">
        <is>
          <t>shared bare-metal login / analysis nodes</t>
        </is>
      </c>
    </row>
    <row r="67">
      <c r="A67" s="5" t="inlineStr">
        <is>
          <t>Cores per interactive node</t>
        </is>
      </c>
      <c r="B67" s="6" t="n">
        <v>64</v>
      </c>
      <c r="C67" s="5" t="inlineStr">
        <is>
          <t>cores</t>
        </is>
      </c>
      <c r="D67" s="7" t="inlineStr"/>
    </row>
    <row r="69">
      <c r="A69" s="3" t="inlineStr">
        <is>
          <t>FACILITY SPLIT (DRP COMPUTE)</t>
        </is>
      </c>
      <c r="B69" s="4" t="n"/>
      <c r="C69" s="4" t="n"/>
      <c r="D69" s="4" t="n"/>
    </row>
    <row r="70">
      <c r="A70" s="5" t="inlineStr">
        <is>
          <t>France / CC-IN2P3 share</t>
        </is>
      </c>
      <c r="B70" s="16" t="n">
        <v>0.4</v>
      </c>
      <c r="C70" s="5" t="inlineStr">
        <is>
          <t>%</t>
        </is>
      </c>
      <c r="D70" s="7" t="inlineStr">
        <is>
          <t>long-run aggregate</t>
        </is>
      </c>
    </row>
    <row r="71">
      <c r="A71" s="5" t="inlineStr">
        <is>
          <t>UK / UKDF share (10-yr aggregate)</t>
        </is>
      </c>
      <c r="B71" s="16" t="n">
        <v>0.25</v>
      </c>
      <c r="C71" s="5" t="inlineStr">
        <is>
          <t>%</t>
        </is>
      </c>
      <c r="D71" s="7" t="inlineStr">
        <is>
          <t>front-loaded ~40% of year 1, tapering to this aggregate</t>
        </is>
      </c>
    </row>
    <row r="72">
      <c r="A72" s="5" t="inlineStr">
        <is>
          <t>USDF share (residual, aggregate)</t>
        </is>
      </c>
      <c r="B72" s="20">
        <f>1-B70-B71</f>
        <v/>
      </c>
      <c r="C72" s="5" t="inlineStr">
        <is>
          <t>%</t>
        </is>
      </c>
      <c r="D72" s="7" t="inlineStr"/>
    </row>
    <row r="73">
      <c r="A73" s="5" t="inlineStr">
        <is>
          <t>UK provisioned capacity</t>
        </is>
      </c>
      <c r="B73" s="6" t="n">
        <v>40000000</v>
      </c>
      <c r="C73" s="5" t="inlineStr">
        <is>
          <t>ch/yr</t>
        </is>
      </c>
      <c r="D73" s="7" t="inlineStr">
        <is>
          <t>shared infrastructure: ~9k cores for six months</t>
        </is>
      </c>
    </row>
    <row r="75">
      <c r="A75" s="3" t="inlineStr">
        <is>
          <t>QSERV (catalog database)</t>
        </is>
      </c>
      <c r="B75" s="4" t="n"/>
      <c r="C75" s="4" t="n"/>
      <c r="D75" s="4" t="n"/>
    </row>
    <row r="76">
      <c r="A76" s="5" t="inlineStr">
        <is>
          <t>Qserv nodes deployed</t>
        </is>
      </c>
      <c r="B76" s="6" t="n">
        <v>92</v>
      </c>
      <c r="C76" s="5" t="inlineStr">
        <is>
          <t>nodes</t>
        </is>
      </c>
      <c r="D76" s="7" t="inlineStr">
        <is>
          <t>hardware specification is documented on the Qserv tab</t>
        </is>
      </c>
    </row>
    <row r="77">
      <c r="A77" s="5" t="inlineStr">
        <is>
          <t>Qserv replication factor</t>
        </is>
      </c>
      <c r="B77" s="17" t="n">
        <v>3</v>
      </c>
      <c r="C77" s="5" t="inlineStr">
        <is>
          <t>x</t>
        </is>
      </c>
      <c r="D77" s="7" t="inlineStr">
        <is>
          <t>planning value. Every on-disk catalogue figure scales linearly with it; at 2 they fall by a third</t>
        </is>
      </c>
    </row>
    <row r="78">
      <c r="A78" s="5" t="inlineStr">
        <is>
          <t>Overlap uplift on chunk bytes</t>
        </is>
      </c>
      <c r="B78" s="16" t="n">
        <v>0.237</v>
      </c>
      <c r="C78" s="5" t="inlineStr">
        <is>
          <t>fraction</t>
        </is>
      </c>
      <c r="D78" s="7" t="inlineStr">
        <is>
          <t>overlap regions are extra tables holding neighbouring rows. Applied to the modelled columns only; the measured column already contains its own. Observed range across catalogues 6% to 24%, driven by how much of a catalogue is director tables</t>
        </is>
      </c>
    </row>
    <row r="79">
      <c r="A79" s="5" t="inlineStr">
        <is>
          <t>Qserv retention window</t>
        </is>
      </c>
      <c r="B79" s="6" t="n">
        <v>3</v>
      </c>
      <c r="C79" s="5" t="inlineStr">
        <is>
          <t>releases</t>
        </is>
      </c>
      <c r="D79" s="7" t="inlineStr">
        <is>
          <t>sliding window of releases held in the database</t>
        </is>
      </c>
    </row>
    <row r="80">
      <c r="A80" s="5" t="inlineStr">
        <is>
          <t>Object row size</t>
        </is>
      </c>
      <c r="B80" s="6" t="n">
        <v>1896</v>
      </c>
      <c r="C80" s="5" t="inlineStr">
        <is>
          <t>bytes</t>
        </is>
      </c>
      <c r="D80" s="7" t="inlineStr"/>
    </row>
    <row r="81">
      <c r="A81" s="5" t="inlineStr">
        <is>
          <t>Object extra row size</t>
        </is>
      </c>
      <c r="B81" s="6" t="n">
        <v>21005</v>
      </c>
      <c r="C81" s="5" t="inlineStr">
        <is>
          <t>bytes</t>
        </is>
      </c>
      <c r="D81" s="7" t="inlineStr">
        <is>
          <t>uncompressed logical size of the auxiliary per-object tables; the largest single term in the catalogue total</t>
        </is>
      </c>
    </row>
    <row r="82">
      <c r="A82" s="5" t="inlineStr">
        <is>
          <t>Source row size</t>
        </is>
      </c>
      <c r="B82" s="6" t="n">
        <v>467</v>
      </c>
      <c r="C82" s="5" t="inlineStr">
        <is>
          <t>bytes</t>
        </is>
      </c>
      <c r="D82" s="7" t="inlineStr"/>
    </row>
    <row r="83">
      <c r="A83" s="5" t="inlineStr">
        <is>
          <t>Forced-source row size</t>
        </is>
      </c>
      <c r="B83" s="6" t="n">
        <v>41</v>
      </c>
      <c r="C83" s="5" t="inlineStr">
        <is>
          <t>bytes</t>
        </is>
      </c>
      <c r="D83" s="7" t="inlineStr">
        <is>
          <t>held flat: the forced-source schema is fixed, so it is the one row size that does not widen between releases</t>
        </is>
      </c>
    </row>
    <row r="84">
      <c r="A84" s="5" t="inlineStr">
        <is>
          <t>Row-size growth per release</t>
        </is>
      </c>
      <c r="B84" s="16" t="n">
        <v>0.03</v>
      </c>
      <c r="C84" s="5" t="inlineStr">
        <is>
          <t>fraction</t>
        </is>
      </c>
      <c r="D84" s="7" t="inlineStr">
        <is>
          <t>schemas widen as measured columns are added. Compounds per RELEASE, so it is sensitive to release cadence rather than to elapsed years. Applied to the object and source row sizes above, not to forced sources</t>
        </is>
      </c>
    </row>
    <row r="85">
      <c r="A85" s="5" t="inlineStr">
        <is>
          <t>LDM row size to stored-bytes factor</t>
        </is>
      </c>
      <c r="B85" s="21" t="n">
        <v>1</v>
      </c>
      <c r="C85" s="5" t="inlineStr">
        <is>
          <t>ratio</t>
        </is>
      </c>
      <c r="D85" s="7" t="inlineStr">
        <is>
          <t>UNANCHORED. Maps the logical row sizes above onto what Qserv stores before filesystem compression. Set to 1.0 as the neutral assumption: filesystem compression is already carried in the per-node capacity, so applying it here as well would count it twice. At DR1, 1.0 gives about 1,450 TB per copy and 0.32 about 460 TB</t>
        </is>
      </c>
    </row>
    <row r="86">
      <c r="A86" s="5" t="inlineStr">
        <is>
          <t>Independent DR1 catalogue estimate, low</t>
        </is>
      </c>
      <c r="B86" s="13" t="n">
        <v>2</v>
      </c>
      <c r="C86" s="5" t="inlineStr">
        <is>
          <t>PB</t>
        </is>
      </c>
      <c r="D86" s="7" t="inlineStr">
        <is>
          <t>one copy, before replication. Used as a calibration band on the Qserv tab; drives no downstream figure</t>
        </is>
      </c>
    </row>
    <row r="87">
      <c r="A87" s="5" t="inlineStr">
        <is>
          <t>Independent DR1 catalogue estimate, high</t>
        </is>
      </c>
      <c r="B87" s="13" t="n">
        <v>3</v>
      </c>
      <c r="C87" s="5" t="inlineStr">
        <is>
          <t>PB</t>
        </is>
      </c>
      <c r="D87" s="7" t="inlineStr">
        <is>
          <t>one copy, before replication</t>
        </is>
      </c>
    </row>
    <row r="88">
      <c r="A88" s="5" t="inlineStr">
        <is>
          <t>Measured data-preview catalogue (logical)</t>
        </is>
      </c>
      <c r="B88" s="11" t="n">
        <v>33.45</v>
      </c>
      <c r="C88" s="5" t="inlineStr">
        <is>
          <t>TB</t>
        </is>
      </c>
      <c r="D88" s="7" t="inlineStr">
        <is>
          <t>unique-chunk total, before replication. Anchors the data-preview column on measurement instead of modelling it. The on-disk preview figure is this times the planning replication factor, so it is a provisioning figure, not a measurement</t>
        </is>
      </c>
    </row>
    <row r="89">
      <c r="A89" s="5" t="inlineStr">
        <is>
          <t>Measured data-preview indexes (logical)</t>
        </is>
      </c>
      <c r="B89" s="14" t="n">
        <v>3.24</v>
      </c>
      <c r="C89" s="5" t="inlineStr">
        <is>
          <t>TB</t>
        </is>
      </c>
      <c r="D89" s="7" t="inlineStr">
        <is>
          <t>index portion of the row above; already included in it</t>
        </is>
      </c>
    </row>
    <row r="91">
      <c r="A91" s="3" t="inlineStr">
        <is>
          <t>DP2 / EDP2 REFERENCE (not used in projections)</t>
        </is>
      </c>
      <c r="B91" s="4" t="n"/>
      <c r="C91" s="4" t="n"/>
      <c r="D91" s="4" t="n"/>
    </row>
    <row r="92">
      <c r="A92" s="5" t="inlineStr">
        <is>
          <t>DP2 visits processed</t>
        </is>
      </c>
      <c r="B92" s="6" t="n">
        <v>30000</v>
      </c>
      <c r="C92" s="5" t="inlineStr">
        <is>
          <t>visits</t>
        </is>
      </c>
      <c r="D92" s="7" t="inlineStr">
        <is>
          <t>one survey-year is ~210,000 visits</t>
        </is>
      </c>
    </row>
    <row r="93">
      <c r="A93" s="5" t="inlineStr">
        <is>
          <t>EDP2 distributed subset (total)</t>
        </is>
      </c>
      <c r="B93" s="14" t="n">
        <v>59.15</v>
      </c>
      <c r="C93" s="5" t="inlineStr">
        <is>
          <t>TB</t>
        </is>
      </c>
      <c r="D93" s="7" t="inlineStr">
        <is>
          <t>EDP2 is an early subset of DP2, not full DP2</t>
        </is>
      </c>
    </row>
    <row r="94">
      <c r="A94" s="5" t="inlineStr">
        <is>
          <t>EDP2 deep_coadd</t>
        </is>
      </c>
      <c r="B94" s="6" t="n">
        <v>28</v>
      </c>
      <c r="C94" s="5" t="inlineStr">
        <is>
          <t>TB</t>
        </is>
      </c>
      <c r="D94" s="7" t="inlineStr">
        <is>
          <t>925,460 files</t>
        </is>
      </c>
    </row>
    <row r="95">
      <c r="A95" s="5" t="inlineStr">
        <is>
          <t>EDP2 object_scarlet_models</t>
        </is>
      </c>
      <c r="B95" s="6" t="n">
        <v>11</v>
      </c>
      <c r="C95" s="5" t="inlineStr">
        <is>
          <t>TB</t>
        </is>
      </c>
      <c r="D95" s="7" t="inlineStr">
        <is>
          <t>product not yet in the model</t>
        </is>
      </c>
    </row>
    <row r="96">
      <c r="A96" s="5" t="inlineStr">
        <is>
          <t>HiPS single-band maps</t>
        </is>
      </c>
      <c r="B96" s="6" t="n">
        <v>18</v>
      </c>
      <c r="C96" s="5" t="inlineStr">
        <is>
          <t>TB</t>
        </is>
      </c>
      <c r="D96" s="7" t="inlineStr">
        <is>
          <t>small-file heavy; see file count below</t>
        </is>
      </c>
    </row>
    <row r="97">
      <c r="A97" s="5" t="inlineStr">
        <is>
          <t>HiPS file count</t>
        </is>
      </c>
      <c r="B97" s="6" t="n">
        <v>36</v>
      </c>
      <c r="C97" s="5" t="inlineStr">
        <is>
          <t>millions</t>
        </is>
      </c>
      <c r="D97" s="7" t="inlineStr">
        <is>
          <t>capacity is small but the object count stresses filesystem metadata</t>
        </is>
      </c>
    </row>
    <row r="99">
      <c r="A99" s="3" t="inlineStr">
        <is>
          <t>DR1 DATASET-TYPE BREAKDOWN — source of BYTES WRITTEN and the file count</t>
        </is>
      </c>
      <c r="B99" s="4" t="n"/>
      <c r="C99" s="4" t="n"/>
      <c r="D99" s="4" t="n"/>
    </row>
    <row r="100">
      <c r="A100" s="22" t="inlineStr">
        <is>
          <t>Dataset type (DR1, compressed)</t>
        </is>
      </c>
      <c r="B100" s="22" t="inlineStr">
        <is>
          <t>PB</t>
        </is>
      </c>
      <c r="C100" s="22" t="inlineStr">
        <is>
          <t>files</t>
        </is>
      </c>
      <c r="D100" s="2" t="inlineStr">
        <is>
          <t>largest dataset types by size; the remainder are carried in the row below</t>
        </is>
      </c>
    </row>
    <row r="101">
      <c r="A101" s="23" t="inlineStr">
        <is>
          <t>direct_warp</t>
        </is>
      </c>
      <c r="B101" s="24" t="n">
        <v>7.437</v>
      </c>
      <c r="C101" s="25" t="n">
        <v>107391908</v>
      </c>
    </row>
    <row r="102">
      <c r="A102" s="23" t="inlineStr">
        <is>
          <t>direct_warp_noise0</t>
        </is>
      </c>
      <c r="B102" s="24" t="n">
        <v>7.42</v>
      </c>
      <c r="C102" s="25" t="n">
        <v>107391908</v>
      </c>
    </row>
    <row r="103">
      <c r="A103" s="23" t="inlineStr">
        <is>
          <t>psf_matched_warp</t>
        </is>
      </c>
      <c r="B103" s="24" t="n">
        <v>5.382</v>
      </c>
      <c r="C103" s="25" t="n">
        <v>107391908</v>
      </c>
    </row>
    <row r="104">
      <c r="A104" s="23" t="inlineStr">
        <is>
          <t>template_detector</t>
        </is>
      </c>
      <c r="B104" s="24" t="n">
        <v>5.311</v>
      </c>
      <c r="C104" s="25" t="n">
        <v>37270840</v>
      </c>
    </row>
    <row r="105">
      <c r="A105" s="23" t="inlineStr">
        <is>
          <t>difference_image_predetection</t>
        </is>
      </c>
      <c r="B105" s="24" t="n">
        <v>4.049</v>
      </c>
      <c r="C105" s="25" t="n">
        <v>37270840</v>
      </c>
    </row>
    <row r="106">
      <c r="A106" s="23" t="inlineStr">
        <is>
          <t>template_matched</t>
        </is>
      </c>
      <c r="B106" s="24" t="n">
        <v>3.902</v>
      </c>
      <c r="C106" s="25" t="n">
        <v>37270840</v>
      </c>
    </row>
    <row r="107">
      <c r="A107" s="23" t="inlineStr">
        <is>
          <t>difference_image</t>
        </is>
      </c>
      <c r="B107" s="24" t="n">
        <v>3.873</v>
      </c>
      <c r="C107" s="25" t="n">
        <v>37270840</v>
      </c>
    </row>
    <row r="108">
      <c r="A108" s="23" t="inlineStr">
        <is>
          <t>post_isr_image</t>
        </is>
      </c>
      <c r="B108" s="24" t="n">
        <v>3.341</v>
      </c>
      <c r="C108" s="25" t="n">
        <v>35596260</v>
      </c>
    </row>
    <row r="109">
      <c r="A109" s="23" t="inlineStr">
        <is>
          <t>deep_coadd_cell_predetection</t>
        </is>
      </c>
      <c r="B109" s="24" t="n">
        <v>1.534</v>
      </c>
      <c r="C109" s="25" t="n">
        <v>7398852</v>
      </c>
    </row>
    <row r="110">
      <c r="A110" s="23" t="inlineStr">
        <is>
          <t>visit_image  (RELEASE)</t>
        </is>
      </c>
      <c r="B110" s="24" t="n">
        <v>1.083</v>
      </c>
      <c r="C110" s="25" t="n">
        <v>37270840</v>
      </c>
    </row>
    <row r="111">
      <c r="A111" s="23" t="inlineStr">
        <is>
          <t>preliminary_visit_image</t>
        </is>
      </c>
      <c r="B111" s="24" t="n">
        <v>1.04</v>
      </c>
      <c r="C111" s="25" t="n">
        <v>35596260</v>
      </c>
    </row>
    <row r="112">
      <c r="A112" s="23" t="inlineStr">
        <is>
          <t>source_footprints</t>
        </is>
      </c>
      <c r="B112" s="24" t="n">
        <v>0.634</v>
      </c>
      <c r="C112" s="25" t="n">
        <v>37270840</v>
      </c>
    </row>
    <row r="113">
      <c r="A113" s="23" t="inlineStr">
        <is>
          <t>deep_coadd_predetection</t>
        </is>
      </c>
      <c r="B113" s="24" t="n">
        <v>0.534</v>
      </c>
      <c r="C113" s="25" t="n">
        <v>7398852</v>
      </c>
    </row>
    <row r="114">
      <c r="A114" s="23" t="inlineStr">
        <is>
          <t>single_visit_star_footprints</t>
        </is>
      </c>
      <c r="B114" s="24" t="n">
        <v>0.442</v>
      </c>
      <c r="C114" s="25" t="n">
        <v>35596260</v>
      </c>
    </row>
    <row r="115">
      <c r="A115" s="23" t="inlineStr">
        <is>
          <t>deconvolved_deep_coadd</t>
        </is>
      </c>
      <c r="B115" s="24" t="n">
        <v>0.337</v>
      </c>
      <c r="C115" s="25" t="n">
        <v>7398852</v>
      </c>
    </row>
    <row r="116">
      <c r="A116" s="23" t="inlineStr">
        <is>
          <t>source_unstandardized</t>
        </is>
      </c>
      <c r="B116" s="24" t="n">
        <v>0.327</v>
      </c>
      <c r="C116" s="25" t="n">
        <v>37270840</v>
      </c>
    </row>
    <row r="117">
      <c r="A117" s="23" t="inlineStr">
        <is>
          <t>object_forced_source_unstandardized</t>
        </is>
      </c>
      <c r="B117" s="24" t="n">
        <v>0.239</v>
      </c>
      <c r="C117" s="25" t="n">
        <v>61040677</v>
      </c>
    </row>
    <row r="118">
      <c r="A118" s="23" t="inlineStr">
        <is>
          <t>object_unstandardized</t>
        </is>
      </c>
      <c r="B118" s="24" t="n">
        <v>0.204</v>
      </c>
      <c r="C118" s="25" t="n">
        <v>1285731</v>
      </c>
    </row>
    <row r="119">
      <c r="A119" s="23" t="inlineStr">
        <is>
          <t>All other dataset types (~395)</t>
        </is>
      </c>
      <c r="B119" s="24" t="n">
        <v>0</v>
      </c>
      <c r="C119" s="25" t="n">
        <v>0</v>
      </c>
      <c r="D119" s="2" t="inlineStr">
        <is>
          <t>carried as zero: the top-18 already reach the page's stated total</t>
        </is>
      </c>
    </row>
    <row r="120">
      <c r="A120" s="26" t="inlineStr">
        <is>
          <t>DR1 CAMPAIGN TOTAL</t>
        </is>
      </c>
      <c r="B120" s="27">
        <f>SUM(B101:B119)</f>
        <v/>
      </c>
      <c r="C120" s="28">
        <f>SUM(C101:C119)</f>
        <v/>
      </c>
      <c r="D120" s="2" t="inlineStr">
        <is>
          <t>PB feeds BYTES WRITTEN above; file count feeds the All at USDF projection</t>
        </is>
      </c>
    </row>
    <row r="122" ht="26" customHeight="1">
      <c r="A122" s="29" t="inlineStr">
        <is>
          <t>CAVEAT: in the source data the cumulative-size and cumulative-fraction columns are mutually inconsistent by about 5%. The listed types already sum to the stated campaign total, so the remaining types are carried as zero rather than invented. Treat the total as approximate to that tolerance.</t>
        </is>
      </c>
    </row>
  </sheetData>
  <mergeCells count="1">
    <mergeCell ref="A122:D122"/>
  </mergeCells>
  <pageMargins left="0.75" right="0.75" top="1" bottom="1" header="0.5" footer="0.5"/>
</worksheet>
</file>

<file path=xl/worksheets/sheet2.xml><?xml version="1.0" encoding="utf-8"?>
<worksheet xmlns="http://schemas.openxmlformats.org/spreadsheetml/2006/main">
  <sheetPr>
    <tabColor rgb="00ED7D31"/>
    <outlinePr summaryBelow="1" summaryRight="1"/>
    <pageSetUpPr/>
  </sheetPr>
  <dimension ref="A1:L63"/>
  <sheetViews>
    <sheetView workbookViewId="0">
      <selection activeCell="A1" sqref="A1"/>
    </sheetView>
  </sheetViews>
  <sheetFormatPr baseColWidth="8" defaultRowHeight="15"/>
  <cols>
    <col width="48" customWidth="1" min="1" max="1"/>
    <col width="1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 t="inlineStr">
        <is>
          <t>Scenario A — Everything runs at USDF (100% of DRP). All cells calculated from Key Numbers.</t>
        </is>
      </c>
    </row>
    <row r="2">
      <c r="A2" s="22" t="inlineStr">
        <is>
          <t>Metric</t>
        </is>
      </c>
      <c r="B2" s="22" t="inlineStr">
        <is>
          <t>Unit</t>
        </is>
      </c>
      <c r="C2" s="22" t="inlineStr">
        <is>
          <t>LOY1</t>
        </is>
      </c>
      <c r="D2" s="22" t="inlineStr">
        <is>
          <t>LOY2</t>
        </is>
      </c>
      <c r="E2" s="22" t="inlineStr">
        <is>
          <t>LOY3</t>
        </is>
      </c>
      <c r="F2" s="22" t="inlineStr">
        <is>
          <t>LOY4</t>
        </is>
      </c>
      <c r="G2" s="22" t="inlineStr">
        <is>
          <t>LOY5</t>
        </is>
      </c>
      <c r="H2" s="22" t="inlineStr">
        <is>
          <t>LOY6</t>
        </is>
      </c>
      <c r="I2" s="22" t="inlineStr">
        <is>
          <t>LOY7</t>
        </is>
      </c>
      <c r="J2" s="22" t="inlineStr">
        <is>
          <t>LOY8</t>
        </is>
      </c>
      <c r="K2" s="22" t="inlineStr">
        <is>
          <t>LOY9</t>
        </is>
      </c>
      <c r="L2" s="22" t="inlineStr">
        <is>
          <t>LOY10</t>
        </is>
      </c>
    </row>
    <row r="3">
      <c r="A3" s="23" t="inlineStr">
        <is>
          <t>Fiscal Year</t>
        </is>
      </c>
      <c r="C3" s="23" t="inlineStr">
        <is>
          <t>FY2026</t>
        </is>
      </c>
      <c r="D3" s="23" t="inlineStr">
        <is>
          <t>FY2027</t>
        </is>
      </c>
      <c r="E3" s="23" t="inlineStr">
        <is>
          <t>FY2028</t>
        </is>
      </c>
      <c r="F3" s="23" t="inlineStr">
        <is>
          <t>FY2029</t>
        </is>
      </c>
      <c r="G3" s="23" t="inlineStr">
        <is>
          <t>FY2030</t>
        </is>
      </c>
      <c r="H3" s="23" t="inlineStr">
        <is>
          <t>FY2031</t>
        </is>
      </c>
      <c r="I3" s="23" t="inlineStr">
        <is>
          <t>FY2032</t>
        </is>
      </c>
      <c r="J3" s="23" t="inlineStr">
        <is>
          <t>FY2033</t>
        </is>
      </c>
      <c r="K3" s="23" t="inlineStr">
        <is>
          <t>FY2034</t>
        </is>
      </c>
      <c r="L3" s="23" t="inlineStr">
        <is>
          <t>FY2035</t>
        </is>
      </c>
    </row>
    <row r="4">
      <c r="A4" s="23" t="inlineStr">
        <is>
          <t>Milestone</t>
        </is>
      </c>
      <c r="C4" s="2" t="inlineStr">
        <is>
          <t>DP2 (actual)</t>
        </is>
      </c>
      <c r="D4" s="2" t="inlineStr">
        <is>
          <t>DR1</t>
        </is>
      </c>
      <c r="E4" s="2" t="inlineStr">
        <is>
          <t>DR2</t>
        </is>
      </c>
      <c r="F4" s="2" t="inlineStr">
        <is>
          <t>DR3</t>
        </is>
      </c>
      <c r="G4" s="2" t="inlineStr">
        <is>
          <t>DR4</t>
        </is>
      </c>
      <c r="H4" s="2" t="inlineStr">
        <is>
          <t>DR5</t>
        </is>
      </c>
      <c r="I4" s="2" t="inlineStr">
        <is>
          <t>DR6</t>
        </is>
      </c>
      <c r="J4" s="2" t="inlineStr">
        <is>
          <t>DR7</t>
        </is>
      </c>
      <c r="K4" s="2" t="inlineStr">
        <is>
          <t>DR8</t>
        </is>
      </c>
      <c r="L4" s="2" t="inlineStr">
        <is>
          <t>DR9</t>
        </is>
      </c>
    </row>
    <row r="6">
      <c r="A6" s="3" t="inlineStr">
        <is>
          <t>DRP COMPUTE — core-hours / node-days / peak cores (LOY1 = DP2 actuals)</t>
        </is>
      </c>
      <c r="B6" s="4" t="n"/>
      <c r="C6" s="4" t="n"/>
      <c r="D6" s="4" t="n"/>
      <c r="E6" s="4" t="n"/>
      <c r="F6" s="4" t="n"/>
      <c r="G6" s="4" t="n"/>
      <c r="H6" s="4" t="n"/>
      <c r="I6" s="4" t="n"/>
      <c r="J6" s="4" t="n"/>
      <c r="K6" s="4" t="n"/>
      <c r="L6" s="4" t="n"/>
    </row>
    <row r="7">
      <c r="A7" s="23" t="inlineStr">
        <is>
          <t>Survey years of input processed</t>
        </is>
      </c>
      <c r="B7" s="23" t="inlineStr">
        <is>
          <t>years</t>
        </is>
      </c>
      <c r="C7" s="30">
        <f>'Key Numbers'!$B$92/('Key Numbers'!$B$4*'Key Numbers'!$B$5)</f>
        <v/>
      </c>
      <c r="D7" s="31" t="n">
        <v>1</v>
      </c>
      <c r="E7" s="31" t="n">
        <v>2</v>
      </c>
      <c r="F7" s="31" t="n">
        <v>3</v>
      </c>
      <c r="G7" s="31" t="n">
        <v>4</v>
      </c>
      <c r="H7" s="31" t="n">
        <v>5</v>
      </c>
      <c r="I7" s="31" t="n">
        <v>6</v>
      </c>
      <c r="J7" s="31" t="n">
        <v>7</v>
      </c>
      <c r="K7" s="31" t="n">
        <v>8</v>
      </c>
      <c r="L7" s="31" t="n">
        <v>9</v>
      </c>
    </row>
    <row r="8">
      <c r="A8" s="23" t="inlineStr">
        <is>
          <t>Cumulative input data</t>
        </is>
      </c>
      <c r="B8" s="23" t="inlineStr">
        <is>
          <t>TB</t>
        </is>
      </c>
      <c r="C8" s="32">
        <f>C7*'Key Numbers'!$B$8</f>
        <v/>
      </c>
      <c r="D8" s="32">
        <f>D7*'Key Numbers'!$B$8</f>
        <v/>
      </c>
      <c r="E8" s="32">
        <f>E7*'Key Numbers'!$B$8</f>
        <v/>
      </c>
      <c r="F8" s="32">
        <f>F7*'Key Numbers'!$B$8</f>
        <v/>
      </c>
      <c r="G8" s="32">
        <f>G7*'Key Numbers'!$B$8</f>
        <v/>
      </c>
      <c r="H8" s="32">
        <f>H7*'Key Numbers'!$B$8</f>
        <v/>
      </c>
      <c r="I8" s="32">
        <f>I7*'Key Numbers'!$B$8</f>
        <v/>
      </c>
      <c r="J8" s="32">
        <f>J7*'Key Numbers'!$B$8</f>
        <v/>
      </c>
      <c r="K8" s="32">
        <f>K7*'Key Numbers'!$B$8</f>
        <v/>
      </c>
      <c r="L8" s="32">
        <f>L7*'Key Numbers'!$B$8</f>
        <v/>
      </c>
    </row>
    <row r="9">
      <c r="A9" s="23" t="inlineStr">
        <is>
          <t>DRP work — core-hours</t>
        </is>
      </c>
      <c r="B9" s="23" t="inlineStr">
        <is>
          <t>core-hrs</t>
        </is>
      </c>
      <c r="C9" s="28">
        <f>'Key Numbers'!$B$13*'Key Numbers'!$B$14*24</f>
        <v/>
      </c>
      <c r="D9" s="28">
        <f>D8*'Key Numbers'!$B$11+D7*'Key Numbers'!$B$18*'Key Numbers'!$B$14*24</f>
        <v/>
      </c>
      <c r="E9" s="28">
        <f>E8*'Key Numbers'!$B$11+E7*'Key Numbers'!$B$18*'Key Numbers'!$B$14*24</f>
        <v/>
      </c>
      <c r="F9" s="28">
        <f>F8*'Key Numbers'!$B$11+F7*'Key Numbers'!$B$18*'Key Numbers'!$B$14*24</f>
        <v/>
      </c>
      <c r="G9" s="28">
        <f>G8*'Key Numbers'!$B$11+G7*'Key Numbers'!$B$18*'Key Numbers'!$B$14*24</f>
        <v/>
      </c>
      <c r="H9" s="28">
        <f>H8*'Key Numbers'!$B$11+H7*'Key Numbers'!$B$18*'Key Numbers'!$B$14*24</f>
        <v/>
      </c>
      <c r="I9" s="28">
        <f>I8*'Key Numbers'!$B$11+I7*'Key Numbers'!$B$18*'Key Numbers'!$B$14*24</f>
        <v/>
      </c>
      <c r="J9" s="28">
        <f>J8*'Key Numbers'!$B$11+J7*'Key Numbers'!$B$18*'Key Numbers'!$B$14*24</f>
        <v/>
      </c>
      <c r="K9" s="28">
        <f>K8*'Key Numbers'!$B$11+K7*'Key Numbers'!$B$18*'Key Numbers'!$B$14*24</f>
        <v/>
      </c>
      <c r="L9" s="28">
        <f>L8*'Key Numbers'!$B$11+L7*'Key Numbers'!$B$18*'Key Numbers'!$B$14*24</f>
        <v/>
      </c>
    </row>
    <row r="10">
      <c r="A10" s="23" t="inlineStr">
        <is>
          <t>DRP work — node-days (at 120 cores/node)</t>
        </is>
      </c>
      <c r="B10" s="23" t="inlineStr">
        <is>
          <t>node-days</t>
        </is>
      </c>
      <c r="C10" s="28">
        <f>C9/(24*'Key Numbers'!$B$14)</f>
        <v/>
      </c>
      <c r="D10" s="28">
        <f>D9/(24*'Key Numbers'!$B$14)</f>
        <v/>
      </c>
      <c r="E10" s="28">
        <f>E9/(24*'Key Numbers'!$B$14)</f>
        <v/>
      </c>
      <c r="F10" s="28">
        <f>F9/(24*'Key Numbers'!$B$14)</f>
        <v/>
      </c>
      <c r="G10" s="28">
        <f>G9/(24*'Key Numbers'!$B$14)</f>
        <v/>
      </c>
      <c r="H10" s="28">
        <f>H9/(24*'Key Numbers'!$B$14)</f>
        <v/>
      </c>
      <c r="I10" s="28">
        <f>I9/(24*'Key Numbers'!$B$14)</f>
        <v/>
      </c>
      <c r="J10" s="28">
        <f>J9/(24*'Key Numbers'!$B$14)</f>
        <v/>
      </c>
      <c r="K10" s="28">
        <f>K9/(24*'Key Numbers'!$B$14)</f>
        <v/>
      </c>
      <c r="L10" s="28">
        <f>L9/(24*'Key Numbers'!$B$14)</f>
        <v/>
      </c>
    </row>
    <row r="11">
      <c r="A11" s="23" t="inlineStr">
        <is>
          <t>DRP work — peak concurrent cores (in window)</t>
        </is>
      </c>
      <c r="B11" s="23" t="inlineStr">
        <is>
          <t>cores</t>
        </is>
      </c>
      <c r="C11" s="28">
        <f>ROUND(C9/('Key Numbers'!$B$15*24)*'Key Numbers'!$B$16*(1+'Key Numbers'!$B$17),0)</f>
        <v/>
      </c>
      <c r="D11" s="28">
        <f>ROUND(D9/('Key Numbers'!$B$15*24)*'Key Numbers'!$B$16*(1+'Key Numbers'!$B$17),0)</f>
        <v/>
      </c>
      <c r="E11" s="28">
        <f>ROUND(E9/('Key Numbers'!$B$15*24)*'Key Numbers'!$B$16*(1+'Key Numbers'!$B$17),0)</f>
        <v/>
      </c>
      <c r="F11" s="28">
        <f>ROUND(F9/('Key Numbers'!$B$15*24)*'Key Numbers'!$B$16*(1+'Key Numbers'!$B$17),0)</f>
        <v/>
      </c>
      <c r="G11" s="28">
        <f>ROUND(G9/('Key Numbers'!$B$15*24)*'Key Numbers'!$B$16*(1+'Key Numbers'!$B$17),0)</f>
        <v/>
      </c>
      <c r="H11" s="28">
        <f>ROUND(H9/('Key Numbers'!$B$15*24)*'Key Numbers'!$B$16*(1+'Key Numbers'!$B$17),0)</f>
        <v/>
      </c>
      <c r="I11" s="28">
        <f>ROUND(I9/('Key Numbers'!$B$15*24)*'Key Numbers'!$B$16*(1+'Key Numbers'!$B$17),0)</f>
        <v/>
      </c>
      <c r="J11" s="28">
        <f>ROUND(J9/('Key Numbers'!$B$15*24)*'Key Numbers'!$B$16*(1+'Key Numbers'!$B$17),0)</f>
        <v/>
      </c>
      <c r="K11" s="28">
        <f>ROUND(K9/('Key Numbers'!$B$15*24)*'Key Numbers'!$B$16*(1+'Key Numbers'!$B$17),0)</f>
        <v/>
      </c>
      <c r="L11" s="28">
        <f>ROUND(L9/('Key Numbers'!$B$15*24)*'Key Numbers'!$B$16*(1+'Key Numbers'!$B$17),0)</f>
        <v/>
      </c>
    </row>
    <row r="12">
      <c r="A12" s="23" t="inlineStr">
        <is>
          <t>Core-hours with safety margin</t>
        </is>
      </c>
      <c r="B12" s="23" t="inlineStr">
        <is>
          <t>core-hrs</t>
        </is>
      </c>
      <c r="C12" s="28">
        <f>C9*'Key Numbers'!$B$19</f>
        <v/>
      </c>
      <c r="D12" s="28">
        <f>D9*'Key Numbers'!$B$19</f>
        <v/>
      </c>
      <c r="E12" s="28">
        <f>E9*'Key Numbers'!$B$19</f>
        <v/>
      </c>
      <c r="F12" s="28">
        <f>F9*'Key Numbers'!$B$19</f>
        <v/>
      </c>
      <c r="G12" s="28">
        <f>G9*'Key Numbers'!$B$19</f>
        <v/>
      </c>
      <c r="H12" s="28">
        <f>H9*'Key Numbers'!$B$19</f>
        <v/>
      </c>
      <c r="I12" s="28">
        <f>I9*'Key Numbers'!$B$19</f>
        <v/>
      </c>
      <c r="J12" s="28">
        <f>J9*'Key Numbers'!$B$19</f>
        <v/>
      </c>
      <c r="K12" s="28">
        <f>K9*'Key Numbers'!$B$19</f>
        <v/>
      </c>
      <c r="L12" s="28">
        <f>L9*'Key Numbers'!$B$19</f>
        <v/>
      </c>
    </row>
    <row r="13">
      <c r="A13" s="23" t="inlineStr">
        <is>
          <t>Batch nodes needed (peak)</t>
        </is>
      </c>
      <c r="B13" s="23" t="inlineStr">
        <is>
          <t>nodes</t>
        </is>
      </c>
      <c r="C13" s="28">
        <f>ROUNDUP(C11/'Key Numbers'!$B$14,0)</f>
        <v/>
      </c>
      <c r="D13" s="28">
        <f>ROUNDUP(D11/'Key Numbers'!$B$14,0)</f>
        <v/>
      </c>
      <c r="E13" s="28">
        <f>ROUNDUP(E11/'Key Numbers'!$B$14,0)</f>
        <v/>
      </c>
      <c r="F13" s="28">
        <f>ROUNDUP(F11/'Key Numbers'!$B$14,0)</f>
        <v/>
      </c>
      <c r="G13" s="28">
        <f>ROUNDUP(G11/'Key Numbers'!$B$14,0)</f>
        <v/>
      </c>
      <c r="H13" s="28">
        <f>ROUNDUP(H11/'Key Numbers'!$B$14,0)</f>
        <v/>
      </c>
      <c r="I13" s="28">
        <f>ROUNDUP(I11/'Key Numbers'!$B$14,0)</f>
        <v/>
      </c>
      <c r="J13" s="28">
        <f>ROUNDUP(J11/'Key Numbers'!$B$14,0)</f>
        <v/>
      </c>
      <c r="K13" s="28">
        <f>ROUNDUP(K11/'Key Numbers'!$B$14,0)</f>
        <v/>
      </c>
      <c r="L13" s="28">
        <f>ROUNDUP(L11/'Key Numbers'!$B$14,0)</f>
        <v/>
      </c>
    </row>
    <row r="14">
      <c r="A14" s="23" t="inlineStr">
        <is>
          <t>USDF fleet, Milano-equivalent cores</t>
        </is>
      </c>
      <c r="B14" s="23" t="inlineStr">
        <is>
          <t>cores</t>
        </is>
      </c>
      <c r="C14" s="32">
        <f>'Key Numbers'!$B$63</f>
        <v/>
      </c>
      <c r="D14" s="32">
        <f>'Key Numbers'!$B$63</f>
        <v/>
      </c>
      <c r="E14" s="32">
        <f>'Key Numbers'!$B$63</f>
        <v/>
      </c>
      <c r="F14" s="32">
        <f>'Key Numbers'!$B$63</f>
        <v/>
      </c>
      <c r="G14" s="32">
        <f>'Key Numbers'!$B$63</f>
        <v/>
      </c>
      <c r="H14" s="32">
        <f>'Key Numbers'!$B$63</f>
        <v/>
      </c>
      <c r="I14" s="32">
        <f>'Key Numbers'!$B$63</f>
        <v/>
      </c>
      <c r="J14" s="32">
        <f>'Key Numbers'!$B$63</f>
        <v/>
      </c>
      <c r="K14" s="32">
        <f>'Key Numbers'!$B$63</f>
        <v/>
      </c>
      <c r="L14" s="32">
        <f>'Key Numbers'!$B$63</f>
        <v/>
      </c>
    </row>
    <row r="15">
      <c r="A15" s="23" t="inlineStr">
        <is>
          <t>Fleet utilization (peak / Milano-equivalent)</t>
        </is>
      </c>
      <c r="B15" s="23" t="inlineStr">
        <is>
          <t>%</t>
        </is>
      </c>
      <c r="C15" s="33">
        <f>C11/C14</f>
        <v/>
      </c>
      <c r="D15" s="33">
        <f>D11/D14</f>
        <v/>
      </c>
      <c r="E15" s="33">
        <f>E11/E14</f>
        <v/>
      </c>
      <c r="F15" s="33">
        <f>F11/F14</f>
        <v/>
      </c>
      <c r="G15" s="33">
        <f>G11/G14</f>
        <v/>
      </c>
      <c r="H15" s="33">
        <f>H11/H14</f>
        <v/>
      </c>
      <c r="I15" s="33">
        <f>I11/I14</f>
        <v/>
      </c>
      <c r="J15" s="33">
        <f>J11/J14</f>
        <v/>
      </c>
      <c r="K15" s="33">
        <f>K11/K14</f>
        <v/>
      </c>
      <c r="L15" s="33">
        <f>L11/L14</f>
        <v/>
      </c>
    </row>
    <row r="17">
      <c r="A17" s="3" t="inlineStr">
        <is>
          <t>DRP STORAGE — bytes written vs on-floor need (these are different things)</t>
        </is>
      </c>
      <c r="B17" s="4" t="n"/>
      <c r="C17" s="4" t="n"/>
      <c r="D17" s="4" t="n"/>
      <c r="E17" s="4" t="n"/>
      <c r="F17" s="4" t="n"/>
      <c r="G17" s="4" t="n"/>
      <c r="H17" s="4" t="n"/>
      <c r="I17" s="4" t="n"/>
      <c r="J17" s="4" t="n"/>
      <c r="K17" s="4" t="n"/>
      <c r="L17" s="4" t="n"/>
    </row>
    <row r="18">
      <c r="A18" s="23" t="inlineStr">
        <is>
          <t>Campaign output this FY — BYTES WRITTEN</t>
        </is>
      </c>
      <c r="B18" s="23" t="inlineStr">
        <is>
          <t>PB</t>
        </is>
      </c>
      <c r="C18" s="27">
        <f>'Key Numbers'!$B$22</f>
        <v/>
      </c>
      <c r="D18" s="27">
        <f>'Key Numbers'!$B$24*D7</f>
        <v/>
      </c>
      <c r="E18" s="27">
        <f>'Key Numbers'!$B$24*E7</f>
        <v/>
      </c>
      <c r="F18" s="27">
        <f>'Key Numbers'!$B$24*F7</f>
        <v/>
      </c>
      <c r="G18" s="27">
        <f>'Key Numbers'!$B$24*G7</f>
        <v/>
      </c>
      <c r="H18" s="27">
        <f>'Key Numbers'!$B$24*H7</f>
        <v/>
      </c>
      <c r="I18" s="27">
        <f>'Key Numbers'!$B$24*I7</f>
        <v/>
      </c>
      <c r="J18" s="27">
        <f>'Key Numbers'!$B$24*J7</f>
        <v/>
      </c>
      <c r="K18" s="27">
        <f>'Key Numbers'!$B$24*K7</f>
        <v/>
      </c>
      <c r="L18" s="27">
        <f>'Key Numbers'!$B$24*L7</f>
        <v/>
      </c>
    </row>
    <row r="19">
      <c r="A19" s="34" t="inlineStr">
        <is>
          <t xml:space="preserve">  same in TB</t>
        </is>
      </c>
      <c r="B19" s="34" t="inlineStr">
        <is>
          <t>TB</t>
        </is>
      </c>
      <c r="C19" s="35">
        <f>C18*1000</f>
        <v/>
      </c>
      <c r="D19" s="35">
        <f>D18*1000</f>
        <v/>
      </c>
      <c r="E19" s="35">
        <f>E18*1000</f>
        <v/>
      </c>
      <c r="F19" s="35">
        <f>F18*1000</f>
        <v/>
      </c>
      <c r="G19" s="35">
        <f>G18*1000</f>
        <v/>
      </c>
      <c r="H19" s="35">
        <f>H18*1000</f>
        <v/>
      </c>
      <c r="I19" s="35">
        <f>I18*1000</f>
        <v/>
      </c>
      <c r="J19" s="35">
        <f>J18*1000</f>
        <v/>
      </c>
      <c r="K19" s="35">
        <f>K18*1000</f>
        <v/>
      </c>
      <c r="L19" s="35">
        <f>L18*1000</f>
        <v/>
      </c>
    </row>
    <row r="20">
      <c r="A20" s="23" t="inlineStr">
        <is>
          <t xml:space="preserve">  of which release products (retained)</t>
        </is>
      </c>
      <c r="B20" s="23" t="inlineStr">
        <is>
          <t>PB</t>
        </is>
      </c>
      <c r="C20" s="27">
        <f>'Key Numbers'!$B$23</f>
        <v/>
      </c>
      <c r="D20" s="27">
        <f>'Key Numbers'!$B$25*D7</f>
        <v/>
      </c>
      <c r="E20" s="27">
        <f>'Key Numbers'!$B$25*E7</f>
        <v/>
      </c>
      <c r="F20" s="27">
        <f>'Key Numbers'!$B$25*F7</f>
        <v/>
      </c>
      <c r="G20" s="27">
        <f>'Key Numbers'!$B$25*G7</f>
        <v/>
      </c>
      <c r="H20" s="27">
        <f>'Key Numbers'!$B$25*H7</f>
        <v/>
      </c>
      <c r="I20" s="27">
        <f>'Key Numbers'!$B$25*I7</f>
        <v/>
      </c>
      <c r="J20" s="27">
        <f>'Key Numbers'!$B$25*J7</f>
        <v/>
      </c>
      <c r="K20" s="27">
        <f>'Key Numbers'!$B$25*K7</f>
        <v/>
      </c>
      <c r="L20" s="27">
        <f>'Key Numbers'!$B$25*L7</f>
        <v/>
      </c>
    </row>
    <row r="21">
      <c r="A21" s="23" t="inlineStr">
        <is>
          <t xml:space="preserve">  of which intermediates (transient)</t>
        </is>
      </c>
      <c r="B21" s="23" t="inlineStr">
        <is>
          <t>PB</t>
        </is>
      </c>
      <c r="C21" s="27">
        <f>C18-C20</f>
        <v/>
      </c>
      <c r="D21" s="27">
        <f>D18-D20</f>
        <v/>
      </c>
      <c r="E21" s="27">
        <f>E18-E20</f>
        <v/>
      </c>
      <c r="F21" s="27">
        <f>F18-F20</f>
        <v/>
      </c>
      <c r="G21" s="27">
        <f>G18-G20</f>
        <v/>
      </c>
      <c r="H21" s="27">
        <f>H18-H20</f>
        <v/>
      </c>
      <c r="I21" s="27">
        <f>I18-I20</f>
        <v/>
      </c>
      <c r="J21" s="27">
        <f>J18-J20</f>
        <v/>
      </c>
      <c r="K21" s="27">
        <f>K18-K20</f>
        <v/>
      </c>
      <c r="L21" s="27">
        <f>L18-L20</f>
        <v/>
      </c>
    </row>
    <row r="22">
      <c r="A22" s="23" t="inlineStr">
        <is>
          <t>On floor: live intermediates (peak)</t>
        </is>
      </c>
      <c r="B22" s="23" t="inlineStr">
        <is>
          <t>PB</t>
        </is>
      </c>
      <c r="C22" s="27">
        <f>C21*'Key Numbers'!$B$27</f>
        <v/>
      </c>
      <c r="D22" s="27">
        <f>D21*'Key Numbers'!$B$27</f>
        <v/>
      </c>
      <c r="E22" s="27">
        <f>E21*'Key Numbers'!$B$27</f>
        <v/>
      </c>
      <c r="F22" s="27">
        <f>F21*'Key Numbers'!$B$27</f>
        <v/>
      </c>
      <c r="G22" s="27">
        <f>G21*'Key Numbers'!$B$27</f>
        <v/>
      </c>
      <c r="H22" s="27">
        <f>H21*'Key Numbers'!$B$27</f>
        <v/>
      </c>
      <c r="I22" s="27">
        <f>I21*'Key Numbers'!$B$27</f>
        <v/>
      </c>
      <c r="J22" s="27">
        <f>J21*'Key Numbers'!$B$27</f>
        <v/>
      </c>
      <c r="K22" s="27">
        <f>K21*'Key Numbers'!$B$27</f>
        <v/>
      </c>
      <c r="L22" s="27">
        <f>L21*'Key Numbers'!$B$27</f>
        <v/>
      </c>
    </row>
    <row r="23">
      <c r="A23" s="23" t="inlineStr">
        <is>
          <t>On floor: retained releases (sliding window)</t>
        </is>
      </c>
      <c r="B23" s="23" t="inlineStr">
        <is>
          <t>PB</t>
        </is>
      </c>
      <c r="C23" s="27">
        <f>'Key Numbers'!$B$25*(C7*MIN(C7,'Key Numbers'!$B$28)-(MIN(C7,'Key Numbers'!$B$28)-1)*MIN(C7,'Key Numbers'!$B$28)/2)</f>
        <v/>
      </c>
      <c r="D23" s="27">
        <f>'Key Numbers'!$B$25*(D7*MIN(D7,'Key Numbers'!$B$28)-(MIN(D7,'Key Numbers'!$B$28)-1)*MIN(D7,'Key Numbers'!$B$28)/2)</f>
        <v/>
      </c>
      <c r="E23" s="27">
        <f>'Key Numbers'!$B$25*(E7*MIN(E7,'Key Numbers'!$B$28)-(MIN(E7,'Key Numbers'!$B$28)-1)*MIN(E7,'Key Numbers'!$B$28)/2)</f>
        <v/>
      </c>
      <c r="F23" s="27">
        <f>'Key Numbers'!$B$25*(F7*MIN(F7,'Key Numbers'!$B$28)-(MIN(F7,'Key Numbers'!$B$28)-1)*MIN(F7,'Key Numbers'!$B$28)/2)</f>
        <v/>
      </c>
      <c r="G23" s="27">
        <f>'Key Numbers'!$B$25*(G7*MIN(G7,'Key Numbers'!$B$28)-(MIN(G7,'Key Numbers'!$B$28)-1)*MIN(G7,'Key Numbers'!$B$28)/2)</f>
        <v/>
      </c>
      <c r="H23" s="27">
        <f>'Key Numbers'!$B$25*(H7*MIN(H7,'Key Numbers'!$B$28)-(MIN(H7,'Key Numbers'!$B$28)-1)*MIN(H7,'Key Numbers'!$B$28)/2)</f>
        <v/>
      </c>
      <c r="I23" s="27">
        <f>'Key Numbers'!$B$25*(I7*MIN(I7,'Key Numbers'!$B$28)-(MIN(I7,'Key Numbers'!$B$28)-1)*MIN(I7,'Key Numbers'!$B$28)/2)</f>
        <v/>
      </c>
      <c r="J23" s="27">
        <f>'Key Numbers'!$B$25*(J7*MIN(J7,'Key Numbers'!$B$28)-(MIN(J7,'Key Numbers'!$B$28)-1)*MIN(J7,'Key Numbers'!$B$28)/2)</f>
        <v/>
      </c>
      <c r="K23" s="27">
        <f>'Key Numbers'!$B$25*(K7*MIN(K7,'Key Numbers'!$B$28)-(MIN(K7,'Key Numbers'!$B$28)-1)*MIN(K7,'Key Numbers'!$B$28)/2)</f>
        <v/>
      </c>
      <c r="L23" s="27">
        <f>'Key Numbers'!$B$25*(L7*MIN(L7,'Key Numbers'!$B$28)-(MIN(L7,'Key Numbers'!$B$28)-1)*MIN(L7,'Key Numbers'!$B$28)/2)</f>
        <v/>
      </c>
    </row>
    <row r="24">
      <c r="A24" s="23" t="inlineStr">
        <is>
          <t>On floor: raw + calibration, cumulative</t>
        </is>
      </c>
      <c r="B24" s="23" t="inlineStr">
        <is>
          <t>PB</t>
        </is>
      </c>
      <c r="C24" s="27">
        <f>'Key Numbers'!$B$29*(COLUMN()-2)/1000</f>
        <v/>
      </c>
      <c r="D24" s="27">
        <f>'Key Numbers'!$B$29*(COLUMN()-2)/1000</f>
        <v/>
      </c>
      <c r="E24" s="27">
        <f>'Key Numbers'!$B$29*(COLUMN()-2)/1000</f>
        <v/>
      </c>
      <c r="F24" s="27">
        <f>'Key Numbers'!$B$29*(COLUMN()-2)/1000</f>
        <v/>
      </c>
      <c r="G24" s="27">
        <f>'Key Numbers'!$B$29*(COLUMN()-2)/1000</f>
        <v/>
      </c>
      <c r="H24" s="27">
        <f>'Key Numbers'!$B$29*(COLUMN()-2)/1000</f>
        <v/>
      </c>
      <c r="I24" s="27">
        <f>'Key Numbers'!$B$29*(COLUMN()-2)/1000</f>
        <v/>
      </c>
      <c r="J24" s="27">
        <f>'Key Numbers'!$B$29*(COLUMN()-2)/1000</f>
        <v/>
      </c>
      <c r="K24" s="27">
        <f>'Key Numbers'!$B$29*(COLUMN()-2)/1000</f>
        <v/>
      </c>
      <c r="L24" s="27">
        <f>'Key Numbers'!$B$29*(COLUMN()-2)/1000</f>
        <v/>
      </c>
    </row>
    <row r="25">
      <c r="A25" s="23" t="inlineStr">
        <is>
          <t>On floor: prompt products (Tier-1 cumulative + Tier-2)</t>
        </is>
      </c>
      <c r="B25" s="23" t="inlineStr">
        <is>
          <t>PB</t>
        </is>
      </c>
      <c r="C25" s="27">
        <f>('Key Numbers'!$B$30*(COLUMN()-2)+'Key Numbers'!$B$31)/1000</f>
        <v/>
      </c>
      <c r="D25" s="27">
        <f>('Key Numbers'!$B$30*(COLUMN()-2)+'Key Numbers'!$B$31)/1000</f>
        <v/>
      </c>
      <c r="E25" s="27">
        <f>('Key Numbers'!$B$30*(COLUMN()-2)+'Key Numbers'!$B$31)/1000</f>
        <v/>
      </c>
      <c r="F25" s="27">
        <f>('Key Numbers'!$B$30*(COLUMN()-2)+'Key Numbers'!$B$31)/1000</f>
        <v/>
      </c>
      <c r="G25" s="27">
        <f>('Key Numbers'!$B$30*(COLUMN()-2)+'Key Numbers'!$B$31)/1000</f>
        <v/>
      </c>
      <c r="H25" s="27">
        <f>('Key Numbers'!$B$30*(COLUMN()-2)+'Key Numbers'!$B$31)/1000</f>
        <v/>
      </c>
      <c r="I25" s="27">
        <f>('Key Numbers'!$B$30*(COLUMN()-2)+'Key Numbers'!$B$31)/1000</f>
        <v/>
      </c>
      <c r="J25" s="27">
        <f>('Key Numbers'!$B$30*(COLUMN()-2)+'Key Numbers'!$B$31)/1000</f>
        <v/>
      </c>
      <c r="K25" s="27">
        <f>('Key Numbers'!$B$30*(COLUMN()-2)+'Key Numbers'!$B$31)/1000</f>
        <v/>
      </c>
      <c r="L25" s="27">
        <f>('Key Numbers'!$B$30*(COLUMN()-2)+'Key Numbers'!$B$31)/1000</f>
        <v/>
      </c>
    </row>
    <row r="26">
      <c r="A26" s="23" t="inlineStr">
        <is>
          <t>Subtotal of modelled datasets</t>
        </is>
      </c>
      <c r="B26" s="23" t="inlineStr">
        <is>
          <t>PB</t>
        </is>
      </c>
      <c r="C26" s="27">
        <f>SUM(C22:C25)</f>
        <v/>
      </c>
      <c r="D26" s="27">
        <f>SUM(D22:D25)</f>
        <v/>
      </c>
      <c r="E26" s="27">
        <f>SUM(E22:E25)</f>
        <v/>
      </c>
      <c r="F26" s="27">
        <f>SUM(F22:F25)</f>
        <v/>
      </c>
      <c r="G26" s="27">
        <f>SUM(G22:G25)</f>
        <v/>
      </c>
      <c r="H26" s="27">
        <f>SUM(H22:H25)</f>
        <v/>
      </c>
      <c r="I26" s="27">
        <f>SUM(I22:I25)</f>
        <v/>
      </c>
      <c r="J26" s="27">
        <f>SUM(J22:J25)</f>
        <v/>
      </c>
      <c r="K26" s="27">
        <f>SUM(K22:K25)</f>
        <v/>
      </c>
      <c r="L26" s="27">
        <f>SUM(L22:L25)</f>
        <v/>
      </c>
    </row>
    <row r="27">
      <c r="A27" s="23" t="inlineStr">
        <is>
          <t>Other / misc allowance (user areas, APDB, sims)</t>
        </is>
      </c>
      <c r="B27" s="23" t="inlineStr">
        <is>
          <t>PB</t>
        </is>
      </c>
      <c r="C27" s="27">
        <f>C26*'Key Numbers'!$B$32</f>
        <v/>
      </c>
      <c r="D27" s="27">
        <f>D26*'Key Numbers'!$B$32</f>
        <v/>
      </c>
      <c r="E27" s="27">
        <f>E26*'Key Numbers'!$B$32</f>
        <v/>
      </c>
      <c r="F27" s="27">
        <f>F26*'Key Numbers'!$B$32</f>
        <v/>
      </c>
      <c r="G27" s="27">
        <f>G26*'Key Numbers'!$B$32</f>
        <v/>
      </c>
      <c r="H27" s="27">
        <f>H26*'Key Numbers'!$B$32</f>
        <v/>
      </c>
      <c r="I27" s="27">
        <f>I26*'Key Numbers'!$B$32</f>
        <v/>
      </c>
      <c r="J27" s="27">
        <f>J26*'Key Numbers'!$B$32</f>
        <v/>
      </c>
      <c r="K27" s="27">
        <f>K26*'Key Numbers'!$B$32</f>
        <v/>
      </c>
      <c r="L27" s="27">
        <f>L26*'Key Numbers'!$B$32</f>
        <v/>
      </c>
    </row>
    <row r="28">
      <c r="A28" s="26" t="inlineStr">
        <is>
          <t>ON-FLOOR DISK NEED (drives purchases)</t>
        </is>
      </c>
      <c r="B28" s="26" t="inlineStr">
        <is>
          <t>PB</t>
        </is>
      </c>
      <c r="C28" s="27">
        <f>C26+C27</f>
        <v/>
      </c>
      <c r="D28" s="27">
        <f>D26+D27</f>
        <v/>
      </c>
      <c r="E28" s="27">
        <f>E26+E27</f>
        <v/>
      </c>
      <c r="F28" s="27">
        <f>F26+F27</f>
        <v/>
      </c>
      <c r="G28" s="27">
        <f>G26+G27</f>
        <v/>
      </c>
      <c r="H28" s="27">
        <f>H26+H27</f>
        <v/>
      </c>
      <c r="I28" s="27">
        <f>I26+I27</f>
        <v/>
      </c>
      <c r="J28" s="27">
        <f>J26+J27</f>
        <v/>
      </c>
      <c r="K28" s="27">
        <f>K26+K27</f>
        <v/>
      </c>
      <c r="L28" s="27">
        <f>L26+L27</f>
        <v/>
      </c>
    </row>
    <row r="29">
      <c r="A29" s="34" t="inlineStr">
        <is>
          <t xml:space="preserve">  same in TB</t>
        </is>
      </c>
      <c r="B29" s="34" t="inlineStr">
        <is>
          <t>TB</t>
        </is>
      </c>
      <c r="C29" s="35">
        <f>C28*1000</f>
        <v/>
      </c>
      <c r="D29" s="35">
        <f>D28*1000</f>
        <v/>
      </c>
      <c r="E29" s="35">
        <f>E28*1000</f>
        <v/>
      </c>
      <c r="F29" s="35">
        <f>F28*1000</f>
        <v/>
      </c>
      <c r="G29" s="35">
        <f>G28*1000</f>
        <v/>
      </c>
      <c r="H29" s="35">
        <f>H28*1000</f>
        <v/>
      </c>
      <c r="I29" s="35">
        <f>I28*1000</f>
        <v/>
      </c>
      <c r="J29" s="35">
        <f>J28*1000</f>
        <v/>
      </c>
      <c r="K29" s="35">
        <f>K28*1000</f>
        <v/>
      </c>
      <c r="L29" s="35">
        <f>L28*1000</f>
        <v/>
      </c>
    </row>
    <row r="30">
      <c r="A30" s="23" t="inlineStr">
        <is>
          <t>Installed storage today</t>
        </is>
      </c>
      <c r="B30" s="23" t="inlineStr">
        <is>
          <t>PB</t>
        </is>
      </c>
      <c r="C30" s="32">
        <f>'Key Numbers'!$B$64</f>
        <v/>
      </c>
      <c r="D30" s="32">
        <f>'Key Numbers'!$B$64</f>
        <v/>
      </c>
      <c r="E30" s="32">
        <f>'Key Numbers'!$B$64</f>
        <v/>
      </c>
      <c r="F30" s="32">
        <f>'Key Numbers'!$B$64</f>
        <v/>
      </c>
      <c r="G30" s="32">
        <f>'Key Numbers'!$B$64</f>
        <v/>
      </c>
      <c r="H30" s="32">
        <f>'Key Numbers'!$B$64</f>
        <v/>
      </c>
      <c r="I30" s="32">
        <f>'Key Numbers'!$B$64</f>
        <v/>
      </c>
      <c r="J30" s="32">
        <f>'Key Numbers'!$B$64</f>
        <v/>
      </c>
      <c r="K30" s="32">
        <f>'Key Numbers'!$B$64</f>
        <v/>
      </c>
      <c r="L30" s="32">
        <f>'Key Numbers'!$B$64</f>
        <v/>
      </c>
    </row>
    <row r="32">
      <c r="A32" s="3" t="inlineStr">
        <is>
          <t>TAPE / ARCHIVE — cumulative footprint (archived data is never deleted)</t>
        </is>
      </c>
      <c r="B32" s="4" t="n"/>
      <c r="C32" s="4" t="n"/>
      <c r="D32" s="4" t="n"/>
      <c r="E32" s="4" t="n"/>
      <c r="F32" s="4" t="n"/>
      <c r="G32" s="4" t="n"/>
      <c r="H32" s="4" t="n"/>
      <c r="I32" s="4" t="n"/>
      <c r="J32" s="4" t="n"/>
      <c r="K32" s="4" t="n"/>
      <c r="L32" s="4" t="n"/>
    </row>
    <row r="33">
      <c r="A33" s="23" t="inlineStr">
        <is>
          <t>Raw + calibration archived, cumulative</t>
        </is>
      </c>
      <c r="B33" s="23" t="inlineStr">
        <is>
          <t>PB</t>
        </is>
      </c>
      <c r="C33" s="27">
        <f>'Key Numbers'!$B$29*'Key Numbers'!$B$35*(COLUMN()-2)/1000</f>
        <v/>
      </c>
      <c r="D33" s="27">
        <f>'Key Numbers'!$B$29*'Key Numbers'!$B$35*(COLUMN()-2)/1000</f>
        <v/>
      </c>
      <c r="E33" s="27">
        <f>'Key Numbers'!$B$29*'Key Numbers'!$B$35*(COLUMN()-2)/1000</f>
        <v/>
      </c>
      <c r="F33" s="27">
        <f>'Key Numbers'!$B$29*'Key Numbers'!$B$35*(COLUMN()-2)/1000</f>
        <v/>
      </c>
      <c r="G33" s="27">
        <f>'Key Numbers'!$B$29*'Key Numbers'!$B$35*(COLUMN()-2)/1000</f>
        <v/>
      </c>
      <c r="H33" s="27">
        <f>'Key Numbers'!$B$29*'Key Numbers'!$B$35*(COLUMN()-2)/1000</f>
        <v/>
      </c>
      <c r="I33" s="27">
        <f>'Key Numbers'!$B$29*'Key Numbers'!$B$35*(COLUMN()-2)/1000</f>
        <v/>
      </c>
      <c r="J33" s="27">
        <f>'Key Numbers'!$B$29*'Key Numbers'!$B$35*(COLUMN()-2)/1000</f>
        <v/>
      </c>
      <c r="K33" s="27">
        <f>'Key Numbers'!$B$29*'Key Numbers'!$B$35*(COLUMN()-2)/1000</f>
        <v/>
      </c>
      <c r="L33" s="27">
        <f>'Key Numbers'!$B$29*'Key Numbers'!$B$35*(COLUMN()-2)/1000</f>
        <v/>
      </c>
    </row>
    <row r="34">
      <c r="A34" s="23" t="inlineStr">
        <is>
          <t>Release products archived, cumulative</t>
        </is>
      </c>
      <c r="B34" s="23" t="inlineStr">
        <is>
          <t>PB</t>
        </is>
      </c>
      <c r="C34" s="27">
        <f>'Key Numbers'!$B$23*'Key Numbers'!$B$36</f>
        <v/>
      </c>
      <c r="D34" s="27">
        <f>'Key Numbers'!$B$25*D7*(D7+1)/2*'Key Numbers'!$B$36</f>
        <v/>
      </c>
      <c r="E34" s="27">
        <f>'Key Numbers'!$B$25*E7*(E7+1)/2*'Key Numbers'!$B$36</f>
        <v/>
      </c>
      <c r="F34" s="27">
        <f>'Key Numbers'!$B$25*F7*(F7+1)/2*'Key Numbers'!$B$36</f>
        <v/>
      </c>
      <c r="G34" s="27">
        <f>'Key Numbers'!$B$25*G7*(G7+1)/2*'Key Numbers'!$B$36</f>
        <v/>
      </c>
      <c r="H34" s="27">
        <f>'Key Numbers'!$B$25*H7*(H7+1)/2*'Key Numbers'!$B$36</f>
        <v/>
      </c>
      <c r="I34" s="27">
        <f>'Key Numbers'!$B$25*I7*(I7+1)/2*'Key Numbers'!$B$36</f>
        <v/>
      </c>
      <c r="J34" s="27">
        <f>'Key Numbers'!$B$25*J7*(J7+1)/2*'Key Numbers'!$B$36</f>
        <v/>
      </c>
      <c r="K34" s="27">
        <f>'Key Numbers'!$B$25*K7*(K7+1)/2*'Key Numbers'!$B$36</f>
        <v/>
      </c>
      <c r="L34" s="27">
        <f>'Key Numbers'!$B$25*L7*(L7+1)/2*'Key Numbers'!$B$36</f>
        <v/>
      </c>
    </row>
    <row r="35">
      <c r="A35" s="23" t="inlineStr">
        <is>
          <t>Backup of on-floor data</t>
        </is>
      </c>
      <c r="B35" s="23" t="inlineStr">
        <is>
          <t>PB</t>
        </is>
      </c>
      <c r="C35" s="27">
        <f>C28*'Key Numbers'!$B$37</f>
        <v/>
      </c>
      <c r="D35" s="27">
        <f>D28*'Key Numbers'!$B$37</f>
        <v/>
      </c>
      <c r="E35" s="27">
        <f>E28*'Key Numbers'!$B$37</f>
        <v/>
      </c>
      <c r="F35" s="27">
        <f>F28*'Key Numbers'!$B$37</f>
        <v/>
      </c>
      <c r="G35" s="27">
        <f>G28*'Key Numbers'!$B$37</f>
        <v/>
      </c>
      <c r="H35" s="27">
        <f>H28*'Key Numbers'!$B$37</f>
        <v/>
      </c>
      <c r="I35" s="27">
        <f>I28*'Key Numbers'!$B$37</f>
        <v/>
      </c>
      <c r="J35" s="27">
        <f>J28*'Key Numbers'!$B$37</f>
        <v/>
      </c>
      <c r="K35" s="27">
        <f>K28*'Key Numbers'!$B$37</f>
        <v/>
      </c>
      <c r="L35" s="27">
        <f>L28*'Key Numbers'!$B$37</f>
        <v/>
      </c>
    </row>
    <row r="36">
      <c r="A36" s="26" t="inlineStr">
        <is>
          <t>TAPE FOOTPRINT, cumulative (incl. archive already on floor)</t>
        </is>
      </c>
      <c r="B36" s="26" t="inlineStr">
        <is>
          <t>PB</t>
        </is>
      </c>
      <c r="C36" s="27">
        <f>SUM(C33:C35)+'Key Numbers'!$B$38/1000</f>
        <v/>
      </c>
      <c r="D36" s="27">
        <f>SUM(D33:D35)+'Key Numbers'!$B$38/1000</f>
        <v/>
      </c>
      <c r="E36" s="27">
        <f>SUM(E33:E35)+'Key Numbers'!$B$38/1000</f>
        <v/>
      </c>
      <c r="F36" s="27">
        <f>SUM(F33:F35)+'Key Numbers'!$B$38/1000</f>
        <v/>
      </c>
      <c r="G36" s="27">
        <f>SUM(G33:G35)+'Key Numbers'!$B$38/1000</f>
        <v/>
      </c>
      <c r="H36" s="27">
        <f>SUM(H33:H35)+'Key Numbers'!$B$38/1000</f>
        <v/>
      </c>
      <c r="I36" s="27">
        <f>SUM(I33:I35)+'Key Numbers'!$B$38/1000</f>
        <v/>
      </c>
      <c r="J36" s="27">
        <f>SUM(J33:J35)+'Key Numbers'!$B$38/1000</f>
        <v/>
      </c>
      <c r="K36" s="27">
        <f>SUM(K33:K35)+'Key Numbers'!$B$38/1000</f>
        <v/>
      </c>
      <c r="L36" s="27">
        <f>SUM(L33:L35)+'Key Numbers'!$B$38/1000</f>
        <v/>
      </c>
    </row>
    <row r="37">
      <c r="A37" s="34" t="inlineStr">
        <is>
          <t xml:space="preserve">  same in TB</t>
        </is>
      </c>
      <c r="B37" s="34" t="inlineStr">
        <is>
          <t>TB</t>
        </is>
      </c>
      <c r="C37" s="35">
        <f>C36*1000</f>
        <v/>
      </c>
      <c r="D37" s="35">
        <f>D36*1000</f>
        <v/>
      </c>
      <c r="E37" s="35">
        <f>E36*1000</f>
        <v/>
      </c>
      <c r="F37" s="35">
        <f>F36*1000</f>
        <v/>
      </c>
      <c r="G37" s="35">
        <f>G36*1000</f>
        <v/>
      </c>
      <c r="H37" s="35">
        <f>H36*1000</f>
        <v/>
      </c>
      <c r="I37" s="35">
        <f>I36*1000</f>
        <v/>
      </c>
      <c r="J37" s="35">
        <f>J36*1000</f>
        <v/>
      </c>
      <c r="K37" s="35">
        <f>K36*1000</f>
        <v/>
      </c>
      <c r="L37" s="35">
        <f>L36*1000</f>
        <v/>
      </c>
    </row>
    <row r="38">
      <c r="A38" s="23" t="inlineStr">
        <is>
          <t>Tape capacity assumed available (UNVERIFIED)</t>
        </is>
      </c>
      <c r="B38" s="23" t="inlineStr">
        <is>
          <t>TB</t>
        </is>
      </c>
      <c r="C38" s="32">
        <f>'Key Numbers'!$B$40</f>
        <v/>
      </c>
      <c r="D38" s="32">
        <f>'Key Numbers'!$B$40</f>
        <v/>
      </c>
      <c r="E38" s="32">
        <f>'Key Numbers'!$B$40</f>
        <v/>
      </c>
      <c r="F38" s="32">
        <f>'Key Numbers'!$B$40</f>
        <v/>
      </c>
      <c r="G38" s="32">
        <f>'Key Numbers'!$B$40</f>
        <v/>
      </c>
      <c r="H38" s="32">
        <f>'Key Numbers'!$B$40</f>
        <v/>
      </c>
      <c r="I38" s="32">
        <f>'Key Numbers'!$B$40</f>
        <v/>
      </c>
      <c r="J38" s="32">
        <f>'Key Numbers'!$B$40</f>
        <v/>
      </c>
      <c r="K38" s="32">
        <f>'Key Numbers'!$B$40</f>
        <v/>
      </c>
      <c r="L38" s="32">
        <f>'Key Numbers'!$B$40</f>
        <v/>
      </c>
    </row>
    <row r="39">
      <c r="A39" s="23" t="inlineStr">
        <is>
          <t>Cumulative tape capacity to buy</t>
        </is>
      </c>
      <c r="B39" s="23" t="inlineStr">
        <is>
          <t>TB</t>
        </is>
      </c>
      <c r="C39" s="28">
        <f>MAX(0,C37-C38)</f>
        <v/>
      </c>
      <c r="D39" s="28">
        <f>MAX(0,D37-D38)</f>
        <v/>
      </c>
      <c r="E39" s="28">
        <f>MAX(0,E37-E38)</f>
        <v/>
      </c>
      <c r="F39" s="28">
        <f>MAX(0,F37-F38)</f>
        <v/>
      </c>
      <c r="G39" s="28">
        <f>MAX(0,G37-G38)</f>
        <v/>
      </c>
      <c r="H39" s="28">
        <f>MAX(0,H37-H38)</f>
        <v/>
      </c>
      <c r="I39" s="28">
        <f>MAX(0,I37-I38)</f>
        <v/>
      </c>
      <c r="J39" s="28">
        <f>MAX(0,J37-J38)</f>
        <v/>
      </c>
      <c r="K39" s="28">
        <f>MAX(0,K37-K38)</f>
        <v/>
      </c>
      <c r="L39" s="28">
        <f>MAX(0,L37-L38)</f>
        <v/>
      </c>
    </row>
    <row r="40">
      <c r="A40" s="23" t="inlineStr">
        <is>
          <t>Tape purchased this FY</t>
        </is>
      </c>
      <c r="B40" s="23" t="inlineStr">
        <is>
          <t>TB</t>
        </is>
      </c>
      <c r="C40" s="28">
        <f>C39</f>
        <v/>
      </c>
      <c r="D40" s="28">
        <f>D39-C39</f>
        <v/>
      </c>
      <c r="E40" s="28">
        <f>E39-D39</f>
        <v/>
      </c>
      <c r="F40" s="28">
        <f>F39-E39</f>
        <v/>
      </c>
      <c r="G40" s="28">
        <f>G39-F39</f>
        <v/>
      </c>
      <c r="H40" s="28">
        <f>H39-G39</f>
        <v/>
      </c>
      <c r="I40" s="28">
        <f>I39-H39</f>
        <v/>
      </c>
      <c r="J40" s="28">
        <f>J39-I39</f>
        <v/>
      </c>
      <c r="K40" s="28">
        <f>K39-J39</f>
        <v/>
      </c>
      <c r="L40" s="28">
        <f>L39-K39</f>
        <v/>
      </c>
    </row>
    <row r="42">
      <c r="A42" s="3" t="inlineStr">
        <is>
          <t>ALERT PRODUCTION AND SERVICES (USDF only — not shared with partner facilities)</t>
        </is>
      </c>
      <c r="B42" s="4" t="n"/>
      <c r="C42" s="4" t="n"/>
      <c r="D42" s="4" t="n"/>
      <c r="E42" s="4" t="n"/>
      <c r="F42" s="4" t="n"/>
      <c r="G42" s="4" t="n"/>
      <c r="H42" s="4" t="n"/>
      <c r="I42" s="4" t="n"/>
      <c r="J42" s="4" t="n"/>
      <c r="K42" s="4" t="n"/>
      <c r="L42" s="4" t="n"/>
    </row>
    <row r="43">
      <c r="A43" s="23" t="inlineStr">
        <is>
          <t>Alert Production cores</t>
        </is>
      </c>
      <c r="B43" s="23" t="inlineStr">
        <is>
          <t>cores</t>
        </is>
      </c>
      <c r="C43" s="32">
        <f>'Key Numbers'!$B$43</f>
        <v/>
      </c>
      <c r="D43" s="32">
        <f>'Key Numbers'!$B$43</f>
        <v/>
      </c>
      <c r="E43" s="32">
        <f>'Key Numbers'!$B$43</f>
        <v/>
      </c>
      <c r="F43" s="32">
        <f>'Key Numbers'!$B$43</f>
        <v/>
      </c>
      <c r="G43" s="32">
        <f>'Key Numbers'!$B$43</f>
        <v/>
      </c>
      <c r="H43" s="32">
        <f>'Key Numbers'!$B$43</f>
        <v/>
      </c>
      <c r="I43" s="32">
        <f>'Key Numbers'!$B$43</f>
        <v/>
      </c>
      <c r="J43" s="32">
        <f>'Key Numbers'!$B$43</f>
        <v/>
      </c>
      <c r="K43" s="32">
        <f>'Key Numbers'!$B$43</f>
        <v/>
      </c>
      <c r="L43" s="32">
        <f>'Key Numbers'!$B$43</f>
        <v/>
      </c>
    </row>
    <row r="44">
      <c r="A44" s="23" t="inlineStr">
        <is>
          <t>Alert Production K8s nodes</t>
        </is>
      </c>
      <c r="B44" s="23" t="inlineStr">
        <is>
          <t>nodes</t>
        </is>
      </c>
      <c r="C44" s="28">
        <f>ROUNDUP(C43/'Key Numbers'!$B$45,0)</f>
        <v/>
      </c>
      <c r="D44" s="28">
        <f>ROUNDUP(D43/'Key Numbers'!$B$45,0)</f>
        <v/>
      </c>
      <c r="E44" s="28">
        <f>ROUNDUP(E43/'Key Numbers'!$B$45,0)</f>
        <v/>
      </c>
      <c r="F44" s="28">
        <f>ROUNDUP(F43/'Key Numbers'!$B$45,0)</f>
        <v/>
      </c>
      <c r="G44" s="28">
        <f>ROUNDUP(G43/'Key Numbers'!$B$45,0)</f>
        <v/>
      </c>
      <c r="H44" s="28">
        <f>ROUNDUP(H43/'Key Numbers'!$B$45,0)</f>
        <v/>
      </c>
      <c r="I44" s="28">
        <f>ROUNDUP(I43/'Key Numbers'!$B$45,0)</f>
        <v/>
      </c>
      <c r="J44" s="28">
        <f>ROUNDUP(J43/'Key Numbers'!$B$45,0)</f>
        <v/>
      </c>
      <c r="K44" s="28">
        <f>ROUNDUP(K43/'Key Numbers'!$B$45,0)</f>
        <v/>
      </c>
      <c r="L44" s="28">
        <f>ROUNDUP(L43/'Key Numbers'!$B$45,0)</f>
        <v/>
      </c>
    </row>
    <row r="45">
      <c r="A45" s="23" t="inlineStr">
        <is>
          <t>DAC / LSP cores (share of DRP peak)</t>
        </is>
      </c>
      <c r="B45" s="23" t="inlineStr">
        <is>
          <t>cores</t>
        </is>
      </c>
      <c r="C45" s="28">
        <f>ROUND(C11*'Key Numbers'!$B$48,0)</f>
        <v/>
      </c>
      <c r="D45" s="28">
        <f>ROUND(D11*'Key Numbers'!$B$48,0)</f>
        <v/>
      </c>
      <c r="E45" s="28">
        <f>ROUND(E11*'Key Numbers'!$B$48,0)</f>
        <v/>
      </c>
      <c r="F45" s="28">
        <f>ROUND(F11*'Key Numbers'!$B$48,0)</f>
        <v/>
      </c>
      <c r="G45" s="28">
        <f>ROUND(G11*'Key Numbers'!$B$48,0)</f>
        <v/>
      </c>
      <c r="H45" s="28">
        <f>ROUND(H11*'Key Numbers'!$B$48,0)</f>
        <v/>
      </c>
      <c r="I45" s="28">
        <f>ROUND(I11*'Key Numbers'!$B$48,0)</f>
        <v/>
      </c>
      <c r="J45" s="28">
        <f>ROUND(J11*'Key Numbers'!$B$48,0)</f>
        <v/>
      </c>
      <c r="K45" s="28">
        <f>ROUND(K11*'Key Numbers'!$B$48,0)</f>
        <v/>
      </c>
      <c r="L45" s="28">
        <f>ROUND(L11*'Key Numbers'!$B$48,0)</f>
        <v/>
      </c>
    </row>
    <row r="46">
      <c r="A46" s="23" t="inlineStr">
        <is>
          <t>Staff cores</t>
        </is>
      </c>
      <c r="B46" s="23" t="inlineStr">
        <is>
          <t>cores</t>
        </is>
      </c>
      <c r="C46" s="28">
        <f>ROUND(C45*'Key Numbers'!$B$49,0)</f>
        <v/>
      </c>
      <c r="D46" s="28">
        <f>ROUND(D45*'Key Numbers'!$B$49,0)</f>
        <v/>
      </c>
      <c r="E46" s="28">
        <f>ROUND(E45*'Key Numbers'!$B$49,0)</f>
        <v/>
      </c>
      <c r="F46" s="28">
        <f>ROUND(F45*'Key Numbers'!$B$49,0)</f>
        <v/>
      </c>
      <c r="G46" s="28">
        <f>ROUND(G45*'Key Numbers'!$B$49,0)</f>
        <v/>
      </c>
      <c r="H46" s="28">
        <f>ROUND(H45*'Key Numbers'!$B$49,0)</f>
        <v/>
      </c>
      <c r="I46" s="28">
        <f>ROUND(I45*'Key Numbers'!$B$49,0)</f>
        <v/>
      </c>
      <c r="J46" s="28">
        <f>ROUND(J45*'Key Numbers'!$B$49,0)</f>
        <v/>
      </c>
      <c r="K46" s="28">
        <f>ROUND(K45*'Key Numbers'!$B$49,0)</f>
        <v/>
      </c>
      <c r="L46" s="28">
        <f>ROUND(L45*'Key Numbers'!$B$49,0)</f>
        <v/>
      </c>
    </row>
    <row r="47">
      <c r="A47" s="23" t="inlineStr">
        <is>
          <t>Interactive nodes</t>
        </is>
      </c>
      <c r="B47" s="23" t="inlineStr">
        <is>
          <t>nodes</t>
        </is>
      </c>
      <c r="C47" s="32">
        <f>'Key Numbers'!$B$66</f>
        <v/>
      </c>
      <c r="D47" s="32">
        <f>'Key Numbers'!$B$66</f>
        <v/>
      </c>
      <c r="E47" s="32">
        <f>'Key Numbers'!$B$66</f>
        <v/>
      </c>
      <c r="F47" s="32">
        <f>'Key Numbers'!$B$66</f>
        <v/>
      </c>
      <c r="G47" s="32">
        <f>'Key Numbers'!$B$66</f>
        <v/>
      </c>
      <c r="H47" s="32">
        <f>'Key Numbers'!$B$66</f>
        <v/>
      </c>
      <c r="I47" s="32">
        <f>'Key Numbers'!$B$66</f>
        <v/>
      </c>
      <c r="J47" s="32">
        <f>'Key Numbers'!$B$66</f>
        <v/>
      </c>
      <c r="K47" s="32">
        <f>'Key Numbers'!$B$66</f>
        <v/>
      </c>
      <c r="L47" s="32">
        <f>'Key Numbers'!$B$66</f>
        <v/>
      </c>
    </row>
    <row r="48">
      <c r="A48" s="23" t="inlineStr">
        <is>
          <t>Service cores vs deployed K8s fleet</t>
        </is>
      </c>
      <c r="B48" s="23" t="inlineStr">
        <is>
          <t>%</t>
        </is>
      </c>
      <c r="C48" s="33">
        <f>(C43+C45+C46)/('Key Numbers'!$B$65*'Key Numbers'!$B$45)</f>
        <v/>
      </c>
      <c r="D48" s="33">
        <f>(D43+D45+D46)/('Key Numbers'!$B$65*'Key Numbers'!$B$45)</f>
        <v/>
      </c>
      <c r="E48" s="33">
        <f>(E43+E45+E46)/('Key Numbers'!$B$65*'Key Numbers'!$B$45)</f>
        <v/>
      </c>
      <c r="F48" s="33">
        <f>(F43+F45+F46)/('Key Numbers'!$B$65*'Key Numbers'!$B$45)</f>
        <v/>
      </c>
      <c r="G48" s="33">
        <f>(G43+G45+G46)/('Key Numbers'!$B$65*'Key Numbers'!$B$45)</f>
        <v/>
      </c>
      <c r="H48" s="33">
        <f>(H43+H45+H46)/('Key Numbers'!$B$65*'Key Numbers'!$B$45)</f>
        <v/>
      </c>
      <c r="I48" s="33">
        <f>(I43+I45+I46)/('Key Numbers'!$B$65*'Key Numbers'!$B$45)</f>
        <v/>
      </c>
      <c r="J48" s="33">
        <f>(J43+J45+J46)/('Key Numbers'!$B$65*'Key Numbers'!$B$45)</f>
        <v/>
      </c>
      <c r="K48" s="33">
        <f>(K43+K45+K46)/('Key Numbers'!$B$65*'Key Numbers'!$B$45)</f>
        <v/>
      </c>
      <c r="L48" s="33">
        <f>(L43+L45+L46)/('Key Numbers'!$B$65*'Key Numbers'!$B$45)</f>
        <v/>
      </c>
    </row>
    <row r="50">
      <c r="A50" s="3" t="inlineStr">
        <is>
          <t>APDB / CASSANDRA (within the other on-floor allowance, not additional)</t>
        </is>
      </c>
      <c r="B50" s="4" t="n"/>
      <c r="C50" s="4" t="n"/>
      <c r="D50" s="4" t="n"/>
      <c r="E50" s="4" t="n"/>
      <c r="F50" s="4" t="n"/>
      <c r="G50" s="4" t="n"/>
      <c r="H50" s="4" t="n"/>
      <c r="I50" s="4" t="n"/>
      <c r="J50" s="4" t="n"/>
      <c r="K50" s="4" t="n"/>
      <c r="L50" s="4" t="n"/>
    </row>
    <row r="51">
      <c r="A51" s="23" t="inlineStr">
        <is>
          <t>APDB on floor</t>
        </is>
      </c>
      <c r="B51" s="23" t="inlineStr">
        <is>
          <t>TB</t>
        </is>
      </c>
      <c r="C51" s="27">
        <f>'Key Numbers'!$B$52/'Key Numbers'!$B$53*'Key Numbers'!$B$4*'Key Numbers'!$B$5*(COLUMN()-2)</f>
        <v/>
      </c>
      <c r="D51" s="27">
        <f>'Key Numbers'!$B$52/'Key Numbers'!$B$53*'Key Numbers'!$B$4*'Key Numbers'!$B$5*(COLUMN()-2)</f>
        <v/>
      </c>
      <c r="E51" s="27">
        <f>'Key Numbers'!$B$52/'Key Numbers'!$B$53*'Key Numbers'!$B$4*'Key Numbers'!$B$5*(COLUMN()-2)</f>
        <v/>
      </c>
      <c r="F51" s="27">
        <f>'Key Numbers'!$B$52/'Key Numbers'!$B$53*'Key Numbers'!$B$4*'Key Numbers'!$B$5*(COLUMN()-2)</f>
        <v/>
      </c>
      <c r="G51" s="27">
        <f>'Key Numbers'!$B$52/'Key Numbers'!$B$53*'Key Numbers'!$B$4*'Key Numbers'!$B$5*(COLUMN()-2)</f>
        <v/>
      </c>
      <c r="H51" s="27">
        <f>'Key Numbers'!$B$52/'Key Numbers'!$B$53*'Key Numbers'!$B$4*'Key Numbers'!$B$5*(COLUMN()-2)</f>
        <v/>
      </c>
      <c r="I51" s="27">
        <f>'Key Numbers'!$B$52/'Key Numbers'!$B$53*'Key Numbers'!$B$4*'Key Numbers'!$B$5*(COLUMN()-2)</f>
        <v/>
      </c>
      <c r="J51" s="27">
        <f>'Key Numbers'!$B$52/'Key Numbers'!$B$53*'Key Numbers'!$B$4*'Key Numbers'!$B$5*(COLUMN()-2)</f>
        <v/>
      </c>
      <c r="K51" s="27">
        <f>'Key Numbers'!$B$52/'Key Numbers'!$B$53*'Key Numbers'!$B$4*'Key Numbers'!$B$5*(COLUMN()-2)</f>
        <v/>
      </c>
      <c r="L51" s="27">
        <f>'Key Numbers'!$B$52/'Key Numbers'!$B$53*'Key Numbers'!$B$4*'Key Numbers'!$B$5*(COLUMN()-2)</f>
        <v/>
      </c>
    </row>
    <row r="52">
      <c r="A52" s="23" t="inlineStr">
        <is>
          <t>APDB off-site backup, cumulative</t>
        </is>
      </c>
      <c r="B52" s="23" t="inlineStr">
        <is>
          <t>TB</t>
        </is>
      </c>
      <c r="C52" s="28">
        <f>'Key Numbers'!$B$55/10*(COLUMN()-2)</f>
        <v/>
      </c>
      <c r="D52" s="28">
        <f>'Key Numbers'!$B$55/10*(COLUMN()-2)</f>
        <v/>
      </c>
      <c r="E52" s="28">
        <f>'Key Numbers'!$B$55/10*(COLUMN()-2)</f>
        <v/>
      </c>
      <c r="F52" s="28">
        <f>'Key Numbers'!$B$55/10*(COLUMN()-2)</f>
        <v/>
      </c>
      <c r="G52" s="28">
        <f>'Key Numbers'!$B$55/10*(COLUMN()-2)</f>
        <v/>
      </c>
      <c r="H52" s="28">
        <f>'Key Numbers'!$B$55/10*(COLUMN()-2)</f>
        <v/>
      </c>
      <c r="I52" s="28">
        <f>'Key Numbers'!$B$55/10*(COLUMN()-2)</f>
        <v/>
      </c>
      <c r="J52" s="28">
        <f>'Key Numbers'!$B$55/10*(COLUMN()-2)</f>
        <v/>
      </c>
      <c r="K52" s="28">
        <f>'Key Numbers'!$B$55/10*(COLUMN()-2)</f>
        <v/>
      </c>
      <c r="L52" s="28">
        <f>'Key Numbers'!$B$55/10*(COLUMN()-2)</f>
        <v/>
      </c>
    </row>
    <row r="53">
      <c r="A53" s="23" t="inlineStr">
        <is>
          <t>Cassandra nodes deployed</t>
        </is>
      </c>
      <c r="B53" s="23" t="inlineStr">
        <is>
          <t>nodes</t>
        </is>
      </c>
      <c r="C53" s="32">
        <f>'Key Numbers'!$B$54</f>
        <v/>
      </c>
      <c r="D53" s="32">
        <f>'Key Numbers'!$B$54</f>
        <v/>
      </c>
      <c r="E53" s="32">
        <f>'Key Numbers'!$B$54</f>
        <v/>
      </c>
      <c r="F53" s="32">
        <f>'Key Numbers'!$B$54</f>
        <v/>
      </c>
      <c r="G53" s="32">
        <f>'Key Numbers'!$B$54</f>
        <v/>
      </c>
      <c r="H53" s="32">
        <f>'Key Numbers'!$B$54</f>
        <v/>
      </c>
      <c r="I53" s="32">
        <f>'Key Numbers'!$B$54</f>
        <v/>
      </c>
      <c r="J53" s="32">
        <f>'Key Numbers'!$B$54</f>
        <v/>
      </c>
      <c r="K53" s="32">
        <f>'Key Numbers'!$B$54</f>
        <v/>
      </c>
      <c r="L53" s="32">
        <f>'Key Numbers'!$B$54</f>
        <v/>
      </c>
    </row>
    <row r="55">
      <c r="A55" s="3" t="inlineStr">
        <is>
          <t>FILE / OBJECT COUNTS — capacity is not the only constraint</t>
        </is>
      </c>
      <c r="B55" s="4" t="n"/>
      <c r="C55" s="4" t="n"/>
      <c r="D55" s="4" t="n"/>
      <c r="E55" s="4" t="n"/>
      <c r="F55" s="4" t="n"/>
      <c r="G55" s="4" t="n"/>
      <c r="H55" s="4" t="n"/>
      <c r="I55" s="4" t="n"/>
      <c r="J55" s="4" t="n"/>
      <c r="K55" s="4" t="n"/>
      <c r="L55" s="4" t="n"/>
    </row>
    <row r="56">
      <c r="A56" s="23" t="inlineStr">
        <is>
          <t>Files written by this campaign</t>
        </is>
      </c>
      <c r="B56" s="23" t="inlineStr">
        <is>
          <t>millions</t>
        </is>
      </c>
      <c r="C56" s="28">
        <f>'Key Numbers'!$C$120/1000000*C7</f>
        <v/>
      </c>
      <c r="D56" s="28">
        <f>'Key Numbers'!$C$120/1000000*D7</f>
        <v/>
      </c>
      <c r="E56" s="28">
        <f>'Key Numbers'!$C$120/1000000*E7</f>
        <v/>
      </c>
      <c r="F56" s="28">
        <f>'Key Numbers'!$C$120/1000000*F7</f>
        <v/>
      </c>
      <c r="G56" s="28">
        <f>'Key Numbers'!$C$120/1000000*G7</f>
        <v/>
      </c>
      <c r="H56" s="28">
        <f>'Key Numbers'!$C$120/1000000*H7</f>
        <v/>
      </c>
      <c r="I56" s="28">
        <f>'Key Numbers'!$C$120/1000000*I7</f>
        <v/>
      </c>
      <c r="J56" s="28">
        <f>'Key Numbers'!$C$120/1000000*J7</f>
        <v/>
      </c>
      <c r="K56" s="28">
        <f>'Key Numbers'!$C$120/1000000*K7</f>
        <v/>
      </c>
      <c r="L56" s="28">
        <f>'Key Numbers'!$C$120/1000000*L7</f>
        <v/>
      </c>
    </row>
    <row r="57">
      <c r="A57" s="23" t="inlineStr">
        <is>
          <t>Files resident on floor</t>
        </is>
      </c>
      <c r="B57" s="23" t="inlineStr">
        <is>
          <t>millions</t>
        </is>
      </c>
      <c r="C57" s="28">
        <f>C56*('Key Numbers'!$B$27*(1-'Key Numbers'!$B$25/'Key Numbers'!$B$24)+'Key Numbers'!$B$25/'Key Numbers'!$B$24)</f>
        <v/>
      </c>
      <c r="D57" s="28">
        <f>D56*('Key Numbers'!$B$27*(1-'Key Numbers'!$B$25/'Key Numbers'!$B$24)+'Key Numbers'!$B$25/'Key Numbers'!$B$24)</f>
        <v/>
      </c>
      <c r="E57" s="28">
        <f>E56*('Key Numbers'!$B$27*(1-'Key Numbers'!$B$25/'Key Numbers'!$B$24)+'Key Numbers'!$B$25/'Key Numbers'!$B$24)</f>
        <v/>
      </c>
      <c r="F57" s="28">
        <f>F56*('Key Numbers'!$B$27*(1-'Key Numbers'!$B$25/'Key Numbers'!$B$24)+'Key Numbers'!$B$25/'Key Numbers'!$B$24)</f>
        <v/>
      </c>
      <c r="G57" s="28">
        <f>G56*('Key Numbers'!$B$27*(1-'Key Numbers'!$B$25/'Key Numbers'!$B$24)+'Key Numbers'!$B$25/'Key Numbers'!$B$24)</f>
        <v/>
      </c>
      <c r="H57" s="28">
        <f>H56*('Key Numbers'!$B$27*(1-'Key Numbers'!$B$25/'Key Numbers'!$B$24)+'Key Numbers'!$B$25/'Key Numbers'!$B$24)</f>
        <v/>
      </c>
      <c r="I57" s="28">
        <f>I56*('Key Numbers'!$B$27*(1-'Key Numbers'!$B$25/'Key Numbers'!$B$24)+'Key Numbers'!$B$25/'Key Numbers'!$B$24)</f>
        <v/>
      </c>
      <c r="J57" s="28">
        <f>J56*('Key Numbers'!$B$27*(1-'Key Numbers'!$B$25/'Key Numbers'!$B$24)+'Key Numbers'!$B$25/'Key Numbers'!$B$24)</f>
        <v/>
      </c>
      <c r="K57" s="28">
        <f>K56*('Key Numbers'!$B$27*(1-'Key Numbers'!$B$25/'Key Numbers'!$B$24)+'Key Numbers'!$B$25/'Key Numbers'!$B$24)</f>
        <v/>
      </c>
      <c r="L57" s="28">
        <f>L56*('Key Numbers'!$B$27*(1-'Key Numbers'!$B$25/'Key Numbers'!$B$24)+'Key Numbers'!$B$25/'Key Numbers'!$B$24)</f>
        <v/>
      </c>
    </row>
    <row r="59" ht="26" customHeight="1">
      <c r="A59" s="29" t="inlineStr">
        <is>
          <t>BYTES WRITTEN and ON-FLOOR NEED are different quantities. The first is everything the campaign writes over its processing run. The second is what has to be resident on disk at once, and is what gets purchased: most intermediates are created and deleted during the run, so only the Key Numbers live-intermediate fraction is resident simultaneously, plus retained releases, raw data and prompt products, scaled by the other-on-floor allowance.</t>
        </is>
      </c>
    </row>
    <row r="60" ht="26" customHeight="1">
      <c r="A60" s="29" t="inlineStr">
        <is>
          <t>The first loop year is the data preview as completed, comfortably inside the installed capacity.</t>
        </is>
      </c>
    </row>
    <row r="61" ht="26" customHeight="1">
      <c r="A61" s="29" t="inlineStr">
        <is>
          <t>Tape is cumulative: raw data and every data release are preserved permanently, so the footprint only grows. Purchases start only once the footprint exceeds the tape capacity assumed available on Key Numbers. That capacity figure is UNVERIFIED: it comes from one hedged reading of a shared-facility accounting system, and the facility is multi-tenant, so owning media does not reserve library slots or drive bandwidth. Set it to 0 to see the conservative case, which roughly triples the tape purchase.</t>
        </is>
      </c>
    </row>
    <row r="62" ht="26" customHeight="1">
      <c r="A62" s="29" t="inlineStr">
        <is>
          <t>Alert Production, DAC/RSP and interactive capacity are local-only obligations that partner facilities do not share; they run on the Kubernetes and interactive fleets rather than on batch, so they are shown against K8s capacity rather than added to batch purchases.</t>
        </is>
      </c>
    </row>
    <row r="63" ht="26" customHeight="1">
      <c r="A63" s="29" t="inlineStr">
        <is>
          <t>User areas, APDB, sims and misc headroom are carried inside the other on-floor allowance on Key Numbers rather than as separate lines. Network/WAN is not modelled pending measured throughput figures. Every cell on this tab is a formula over Key Numbers.</t>
        </is>
      </c>
    </row>
  </sheetData>
  <mergeCells count="5">
    <mergeCell ref="A60:L60"/>
    <mergeCell ref="A63:L63"/>
    <mergeCell ref="A61:L61"/>
    <mergeCell ref="A59:L59"/>
    <mergeCell ref="A62:L62"/>
  </mergeCells>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L38"/>
  <sheetViews>
    <sheetView workbookViewId="0">
      <selection activeCell="A1" sqref="A1"/>
    </sheetView>
  </sheetViews>
  <sheetFormatPr baseColWidth="8" defaultRowHeight="15"/>
  <cols>
    <col width="48" customWidth="1" min="1" max="1"/>
    <col width="1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 t="inlineStr">
        <is>
          <t>Scenario B — DRP split across data facilities (storage archived at USDF)</t>
        </is>
      </c>
    </row>
    <row r="2">
      <c r="A2" s="22" t="inlineStr">
        <is>
          <t>Metric</t>
        </is>
      </c>
      <c r="B2" s="22" t="inlineStr">
        <is>
          <t>Unit</t>
        </is>
      </c>
      <c r="C2" s="22" t="inlineStr">
        <is>
          <t>LOY1</t>
        </is>
      </c>
      <c r="D2" s="22" t="inlineStr">
        <is>
          <t>LOY2</t>
        </is>
      </c>
      <c r="E2" s="22" t="inlineStr">
        <is>
          <t>LOY3</t>
        </is>
      </c>
      <c r="F2" s="22" t="inlineStr">
        <is>
          <t>LOY4</t>
        </is>
      </c>
      <c r="G2" s="22" t="inlineStr">
        <is>
          <t>LOY5</t>
        </is>
      </c>
      <c r="H2" s="22" t="inlineStr">
        <is>
          <t>LOY6</t>
        </is>
      </c>
      <c r="I2" s="22" t="inlineStr">
        <is>
          <t>LOY7</t>
        </is>
      </c>
      <c r="J2" s="22" t="inlineStr">
        <is>
          <t>LOY8</t>
        </is>
      </c>
      <c r="K2" s="22" t="inlineStr">
        <is>
          <t>LOY9</t>
        </is>
      </c>
      <c r="L2" s="22" t="inlineStr">
        <is>
          <t>LOY10</t>
        </is>
      </c>
    </row>
    <row r="3">
      <c r="A3" s="23" t="inlineStr">
        <is>
          <t>Fiscal Year</t>
        </is>
      </c>
      <c r="C3" s="23" t="inlineStr">
        <is>
          <t>FY2026</t>
        </is>
      </c>
      <c r="D3" s="23" t="inlineStr">
        <is>
          <t>FY2027</t>
        </is>
      </c>
      <c r="E3" s="23" t="inlineStr">
        <is>
          <t>FY2028</t>
        </is>
      </c>
      <c r="F3" s="23" t="inlineStr">
        <is>
          <t>FY2029</t>
        </is>
      </c>
      <c r="G3" s="23" t="inlineStr">
        <is>
          <t>FY2030</t>
        </is>
      </c>
      <c r="H3" s="23" t="inlineStr">
        <is>
          <t>FY2031</t>
        </is>
      </c>
      <c r="I3" s="23" t="inlineStr">
        <is>
          <t>FY2032</t>
        </is>
      </c>
      <c r="J3" s="23" t="inlineStr">
        <is>
          <t>FY2033</t>
        </is>
      </c>
      <c r="K3" s="23" t="inlineStr">
        <is>
          <t>FY2034</t>
        </is>
      </c>
      <c r="L3" s="23" t="inlineStr">
        <is>
          <t>FY2035</t>
        </is>
      </c>
    </row>
    <row r="4">
      <c r="A4" s="23" t="inlineStr">
        <is>
          <t>Milestone</t>
        </is>
      </c>
      <c r="C4" s="2" t="inlineStr">
        <is>
          <t>DP2 (actual)</t>
        </is>
      </c>
      <c r="D4" s="2" t="inlineStr">
        <is>
          <t>DR1</t>
        </is>
      </c>
      <c r="E4" s="2" t="inlineStr">
        <is>
          <t>DR2</t>
        </is>
      </c>
      <c r="F4" s="2" t="inlineStr">
        <is>
          <t>DR3</t>
        </is>
      </c>
      <c r="G4" s="2" t="inlineStr">
        <is>
          <t>DR4</t>
        </is>
      </c>
      <c r="H4" s="2" t="inlineStr">
        <is>
          <t>DR5</t>
        </is>
      </c>
      <c r="I4" s="2" t="inlineStr">
        <is>
          <t>DR6</t>
        </is>
      </c>
      <c r="J4" s="2" t="inlineStr">
        <is>
          <t>DR7</t>
        </is>
      </c>
      <c r="K4" s="2" t="inlineStr">
        <is>
          <t>DR8</t>
        </is>
      </c>
      <c r="L4" s="2" t="inlineStr">
        <is>
          <t>DR9</t>
        </is>
      </c>
    </row>
    <row r="6">
      <c r="A6" s="3" t="inlineStr">
        <is>
          <t>SHARES BY YEAR (blue = edit; UK front-loads then tapers to its aggregate)</t>
        </is>
      </c>
      <c r="B6" s="4" t="n"/>
      <c r="C6" s="4" t="n"/>
      <c r="D6" s="4" t="n"/>
      <c r="E6" s="4" t="n"/>
      <c r="F6" s="4" t="n"/>
      <c r="G6" s="4" t="n"/>
      <c r="H6" s="4" t="n"/>
      <c r="I6" s="4" t="n"/>
      <c r="J6" s="4" t="n"/>
      <c r="K6" s="4" t="n"/>
      <c r="L6" s="4" t="n"/>
    </row>
    <row r="7">
      <c r="A7" s="23" t="inlineStr">
        <is>
          <t>USDF share (residual)</t>
        </is>
      </c>
      <c r="B7" s="23" t="inlineStr">
        <is>
          <t>%</t>
        </is>
      </c>
      <c r="C7" s="33">
        <f>1-C8-C9</f>
        <v/>
      </c>
      <c r="D7" s="33">
        <f>1-D8-D9</f>
        <v/>
      </c>
      <c r="E7" s="33">
        <f>1-E8-E9</f>
        <v/>
      </c>
      <c r="F7" s="33">
        <f>1-F8-F9</f>
        <v/>
      </c>
      <c r="G7" s="33">
        <f>1-G8-G9</f>
        <v/>
      </c>
      <c r="H7" s="33">
        <f>1-H8-H9</f>
        <v/>
      </c>
      <c r="I7" s="33">
        <f>1-I8-I9</f>
        <v/>
      </c>
      <c r="J7" s="33">
        <f>1-J8-J9</f>
        <v/>
      </c>
      <c r="K7" s="33">
        <f>1-K8-K9</f>
        <v/>
      </c>
      <c r="L7" s="33">
        <f>1-L8-L9</f>
        <v/>
      </c>
    </row>
    <row r="8">
      <c r="A8" s="23" t="inlineStr">
        <is>
          <t>France / CC-IN2P3 share</t>
        </is>
      </c>
      <c r="B8" s="23" t="inlineStr">
        <is>
          <t>%</t>
        </is>
      </c>
      <c r="C8" s="36" t="n">
        <v>0</v>
      </c>
      <c r="D8" s="36" t="n">
        <v>0.4</v>
      </c>
      <c r="E8" s="36" t="n">
        <v>0.4</v>
      </c>
      <c r="F8" s="36" t="n">
        <v>0.4</v>
      </c>
      <c r="G8" s="36" t="n">
        <v>0.4</v>
      </c>
      <c r="H8" s="36" t="n">
        <v>0.4</v>
      </c>
      <c r="I8" s="36" t="n">
        <v>0.4</v>
      </c>
      <c r="J8" s="36" t="n">
        <v>0.4</v>
      </c>
      <c r="K8" s="36" t="n">
        <v>0.4</v>
      </c>
      <c r="L8" s="36" t="n">
        <v>0.4</v>
      </c>
    </row>
    <row r="9">
      <c r="A9" s="23" t="inlineStr">
        <is>
          <t>UK / UKDF share</t>
        </is>
      </c>
      <c r="B9" s="23" t="inlineStr">
        <is>
          <t>%</t>
        </is>
      </c>
      <c r="C9" s="36" t="n">
        <v>0</v>
      </c>
      <c r="D9" s="36" t="n">
        <v>0.4</v>
      </c>
      <c r="E9" s="36" t="n">
        <v>0.4</v>
      </c>
      <c r="F9" s="36" t="n">
        <v>0.24</v>
      </c>
      <c r="G9" s="36" t="n">
        <v>0.24</v>
      </c>
      <c r="H9" s="36" t="n">
        <v>0.24</v>
      </c>
      <c r="I9" s="36" t="n">
        <v>0.24</v>
      </c>
      <c r="J9" s="36" t="n">
        <v>0.24</v>
      </c>
      <c r="K9" s="36" t="n">
        <v>0.24</v>
      </c>
      <c r="L9" s="36" t="n">
        <v>0.24</v>
      </c>
    </row>
    <row r="10">
      <c r="A10" s="26" t="inlineStr">
        <is>
          <t>UK work-weighted aggregate (target on Key Numbers)</t>
        </is>
      </c>
      <c r="B10" s="33">
        <f>SUMPRODUCT(D9:L9,'All at USDF'!D7:L7)/SUM('All at USDF'!D7:L7)</f>
        <v/>
      </c>
      <c r="D10" s="2" t="inlineStr">
        <is>
          <t>LOY1 shares are zero: DP2 was processed entirely at USDF.</t>
        </is>
      </c>
    </row>
    <row r="12">
      <c r="A12" s="3" t="inlineStr">
        <is>
          <t>DRP WORK BY FACILITY — CORE-HOURS</t>
        </is>
      </c>
      <c r="B12" s="4" t="n"/>
      <c r="C12" s="4" t="n"/>
      <c r="D12" s="4" t="n"/>
      <c r="E12" s="4" t="n"/>
      <c r="F12" s="4" t="n"/>
      <c r="G12" s="4" t="n"/>
      <c r="H12" s="4" t="n"/>
      <c r="I12" s="4" t="n"/>
      <c r="J12" s="4" t="n"/>
      <c r="K12" s="4" t="n"/>
      <c r="L12" s="4" t="n"/>
    </row>
    <row r="13">
      <c r="A13" s="23" t="inlineStr">
        <is>
          <t>Total DRP core-hours</t>
        </is>
      </c>
      <c r="B13" s="23" t="inlineStr">
        <is>
          <t>core-hrs</t>
        </is>
      </c>
      <c r="C13" s="32">
        <f>'All at USDF'!C9</f>
        <v/>
      </c>
      <c r="D13" s="32">
        <f>'All at USDF'!D9</f>
        <v/>
      </c>
      <c r="E13" s="32">
        <f>'All at USDF'!E9</f>
        <v/>
      </c>
      <c r="F13" s="32">
        <f>'All at USDF'!F9</f>
        <v/>
      </c>
      <c r="G13" s="32">
        <f>'All at USDF'!G9</f>
        <v/>
      </c>
      <c r="H13" s="32">
        <f>'All at USDF'!H9</f>
        <v/>
      </c>
      <c r="I13" s="32">
        <f>'All at USDF'!I9</f>
        <v/>
      </c>
      <c r="J13" s="32">
        <f>'All at USDF'!J9</f>
        <v/>
      </c>
      <c r="K13" s="32">
        <f>'All at USDF'!K9</f>
        <v/>
      </c>
      <c r="L13" s="32">
        <f>'All at USDF'!L9</f>
        <v/>
      </c>
    </row>
    <row r="14">
      <c r="A14" s="23" t="inlineStr">
        <is>
          <t>USDF</t>
        </is>
      </c>
      <c r="B14" s="23" t="inlineStr">
        <is>
          <t>core-hrs</t>
        </is>
      </c>
      <c r="C14" s="28">
        <f>C13*C7</f>
        <v/>
      </c>
      <c r="D14" s="28">
        <f>D13*D7</f>
        <v/>
      </c>
      <c r="E14" s="28">
        <f>E13*E7</f>
        <v/>
      </c>
      <c r="F14" s="28">
        <f>F13*F7</f>
        <v/>
      </c>
      <c r="G14" s="28">
        <f>G13*G7</f>
        <v/>
      </c>
      <c r="H14" s="28">
        <f>H13*H7</f>
        <v/>
      </c>
      <c r="I14" s="28">
        <f>I13*I7</f>
        <v/>
      </c>
      <c r="J14" s="28">
        <f>J13*J7</f>
        <v/>
      </c>
      <c r="K14" s="28">
        <f>K13*K7</f>
        <v/>
      </c>
      <c r="L14" s="28">
        <f>L13*L7</f>
        <v/>
      </c>
    </row>
    <row r="15">
      <c r="A15" s="23" t="inlineStr">
        <is>
          <t>France / CC-IN2P3</t>
        </is>
      </c>
      <c r="B15" s="23" t="inlineStr">
        <is>
          <t>core-hrs</t>
        </is>
      </c>
      <c r="C15" s="28">
        <f>C13*C8</f>
        <v/>
      </c>
      <c r="D15" s="28">
        <f>D13*D8</f>
        <v/>
      </c>
      <c r="E15" s="28">
        <f>E13*E8</f>
        <v/>
      </c>
      <c r="F15" s="28">
        <f>F13*F8</f>
        <v/>
      </c>
      <c r="G15" s="28">
        <f>G13*G8</f>
        <v/>
      </c>
      <c r="H15" s="28">
        <f>H13*H8</f>
        <v/>
      </c>
      <c r="I15" s="28">
        <f>I13*I8</f>
        <v/>
      </c>
      <c r="J15" s="28">
        <f>J13*J8</f>
        <v/>
      </c>
      <c r="K15" s="28">
        <f>K13*K8</f>
        <v/>
      </c>
      <c r="L15" s="28">
        <f>L13*L8</f>
        <v/>
      </c>
    </row>
    <row r="16">
      <c r="A16" s="23" t="inlineStr">
        <is>
          <t>UK / UKDF</t>
        </is>
      </c>
      <c r="B16" s="23" t="inlineStr">
        <is>
          <t>core-hrs</t>
        </is>
      </c>
      <c r="C16" s="28">
        <f>C13*C9</f>
        <v/>
      </c>
      <c r="D16" s="28">
        <f>D13*D9</f>
        <v/>
      </c>
      <c r="E16" s="28">
        <f>E13*E9</f>
        <v/>
      </c>
      <c r="F16" s="28">
        <f>F13*F9</f>
        <v/>
      </c>
      <c r="G16" s="28">
        <f>G13*G9</f>
        <v/>
      </c>
      <c r="H16" s="28">
        <f>H13*H9</f>
        <v/>
      </c>
      <c r="I16" s="28">
        <f>I13*I9</f>
        <v/>
      </c>
      <c r="J16" s="28">
        <f>J13*J9</f>
        <v/>
      </c>
      <c r="K16" s="28">
        <f>K13*K9</f>
        <v/>
      </c>
      <c r="L16" s="28">
        <f>L13*L9</f>
        <v/>
      </c>
    </row>
    <row r="18">
      <c r="A18" s="3" t="inlineStr">
        <is>
          <t>DRP WORK BY FACILITY — NODE-DAYS (at the USDF 120-core reference node)</t>
        </is>
      </c>
      <c r="B18" s="4" t="n"/>
      <c r="C18" s="4" t="n"/>
      <c r="D18" s="4" t="n"/>
      <c r="E18" s="4" t="n"/>
      <c r="F18" s="4" t="n"/>
      <c r="G18" s="4" t="n"/>
      <c r="H18" s="4" t="n"/>
      <c r="I18" s="4" t="n"/>
      <c r="J18" s="4" t="n"/>
      <c r="K18" s="4" t="n"/>
      <c r="L18" s="4" t="n"/>
    </row>
    <row r="19">
      <c r="A19" s="23" t="inlineStr">
        <is>
          <t>USDF</t>
        </is>
      </c>
      <c r="B19" s="23" t="inlineStr">
        <is>
          <t>node-days</t>
        </is>
      </c>
      <c r="C19" s="28">
        <f>C14/(24*'Key Numbers'!$B$14)</f>
        <v/>
      </c>
      <c r="D19" s="28">
        <f>D14/(24*'Key Numbers'!$B$14)</f>
        <v/>
      </c>
      <c r="E19" s="28">
        <f>E14/(24*'Key Numbers'!$B$14)</f>
        <v/>
      </c>
      <c r="F19" s="28">
        <f>F14/(24*'Key Numbers'!$B$14)</f>
        <v/>
      </c>
      <c r="G19" s="28">
        <f>G14/(24*'Key Numbers'!$B$14)</f>
        <v/>
      </c>
      <c r="H19" s="28">
        <f>H14/(24*'Key Numbers'!$B$14)</f>
        <v/>
      </c>
      <c r="I19" s="28">
        <f>I14/(24*'Key Numbers'!$B$14)</f>
        <v/>
      </c>
      <c r="J19" s="28">
        <f>J14/(24*'Key Numbers'!$B$14)</f>
        <v/>
      </c>
      <c r="K19" s="28">
        <f>K14/(24*'Key Numbers'!$B$14)</f>
        <v/>
      </c>
      <c r="L19" s="28">
        <f>L14/(24*'Key Numbers'!$B$14)</f>
        <v/>
      </c>
    </row>
    <row r="20">
      <c r="A20" s="23" t="inlineStr">
        <is>
          <t>France / CC-IN2P3</t>
        </is>
      </c>
      <c r="B20" s="23" t="inlineStr">
        <is>
          <t>node-days</t>
        </is>
      </c>
      <c r="C20" s="28">
        <f>C15/(24*'Key Numbers'!$B$14)</f>
        <v/>
      </c>
      <c r="D20" s="28">
        <f>D15/(24*'Key Numbers'!$B$14)</f>
        <v/>
      </c>
      <c r="E20" s="28">
        <f>E15/(24*'Key Numbers'!$B$14)</f>
        <v/>
      </c>
      <c r="F20" s="28">
        <f>F15/(24*'Key Numbers'!$B$14)</f>
        <v/>
      </c>
      <c r="G20" s="28">
        <f>G15/(24*'Key Numbers'!$B$14)</f>
        <v/>
      </c>
      <c r="H20" s="28">
        <f>H15/(24*'Key Numbers'!$B$14)</f>
        <v/>
      </c>
      <c r="I20" s="28">
        <f>I15/(24*'Key Numbers'!$B$14)</f>
        <v/>
      </c>
      <c r="J20" s="28">
        <f>J15/(24*'Key Numbers'!$B$14)</f>
        <v/>
      </c>
      <c r="K20" s="28">
        <f>K15/(24*'Key Numbers'!$B$14)</f>
        <v/>
      </c>
      <c r="L20" s="28">
        <f>L15/(24*'Key Numbers'!$B$14)</f>
        <v/>
      </c>
    </row>
    <row r="21">
      <c r="A21" s="23" t="inlineStr">
        <is>
          <t>UK / UKDF</t>
        </is>
      </c>
      <c r="B21" s="23" t="inlineStr">
        <is>
          <t>node-days</t>
        </is>
      </c>
      <c r="C21" s="28">
        <f>C16/(24*'Key Numbers'!$B$14)</f>
        <v/>
      </c>
      <c r="D21" s="28">
        <f>D16/(24*'Key Numbers'!$B$14)</f>
        <v/>
      </c>
      <c r="E21" s="28">
        <f>E16/(24*'Key Numbers'!$B$14)</f>
        <v/>
      </c>
      <c r="F21" s="28">
        <f>F16/(24*'Key Numbers'!$B$14)</f>
        <v/>
      </c>
      <c r="G21" s="28">
        <f>G16/(24*'Key Numbers'!$B$14)</f>
        <v/>
      </c>
      <c r="H21" s="28">
        <f>H16/(24*'Key Numbers'!$B$14)</f>
        <v/>
      </c>
      <c r="I21" s="28">
        <f>I16/(24*'Key Numbers'!$B$14)</f>
        <v/>
      </c>
      <c r="J21" s="28">
        <f>J16/(24*'Key Numbers'!$B$14)</f>
        <v/>
      </c>
      <c r="K21" s="28">
        <f>K16/(24*'Key Numbers'!$B$14)</f>
        <v/>
      </c>
      <c r="L21" s="28">
        <f>L16/(24*'Key Numbers'!$B$14)</f>
        <v/>
      </c>
    </row>
    <row r="23">
      <c r="A23" s="3" t="inlineStr">
        <is>
          <t>DRP WORK BY FACILITY — PEAK CONCURRENT CORES (in window)</t>
        </is>
      </c>
      <c r="B23" s="4" t="n"/>
      <c r="C23" s="4" t="n"/>
      <c r="D23" s="4" t="n"/>
      <c r="E23" s="4" t="n"/>
      <c r="F23" s="4" t="n"/>
      <c r="G23" s="4" t="n"/>
      <c r="H23" s="4" t="n"/>
      <c r="I23" s="4" t="n"/>
      <c r="J23" s="4" t="n"/>
      <c r="K23" s="4" t="n"/>
      <c r="L23" s="4" t="n"/>
    </row>
    <row r="24">
      <c r="A24" s="23" t="inlineStr">
        <is>
          <t>USDF</t>
        </is>
      </c>
      <c r="B24" s="23" t="inlineStr">
        <is>
          <t>cores</t>
        </is>
      </c>
      <c r="C24" s="28">
        <f>ROUND('All at USDF'!C11*C7,0)</f>
        <v/>
      </c>
      <c r="D24" s="28">
        <f>ROUND('All at USDF'!D11*D7,0)</f>
        <v/>
      </c>
      <c r="E24" s="28">
        <f>ROUND('All at USDF'!E11*E7,0)</f>
        <v/>
      </c>
      <c r="F24" s="28">
        <f>ROUND('All at USDF'!F11*F7,0)</f>
        <v/>
      </c>
      <c r="G24" s="28">
        <f>ROUND('All at USDF'!G11*G7,0)</f>
        <v/>
      </c>
      <c r="H24" s="28">
        <f>ROUND('All at USDF'!H11*H7,0)</f>
        <v/>
      </c>
      <c r="I24" s="28">
        <f>ROUND('All at USDF'!I11*I7,0)</f>
        <v/>
      </c>
      <c r="J24" s="28">
        <f>ROUND('All at USDF'!J11*J7,0)</f>
        <v/>
      </c>
      <c r="K24" s="28">
        <f>ROUND('All at USDF'!K11*K7,0)</f>
        <v/>
      </c>
      <c r="L24" s="28">
        <f>ROUND('All at USDF'!L11*L7,0)</f>
        <v/>
      </c>
    </row>
    <row r="25">
      <c r="A25" s="23" t="inlineStr">
        <is>
          <t>France / CC-IN2P3</t>
        </is>
      </c>
      <c r="B25" s="23" t="inlineStr">
        <is>
          <t>cores</t>
        </is>
      </c>
      <c r="C25" s="28">
        <f>ROUND('All at USDF'!C11*C8,0)</f>
        <v/>
      </c>
      <c r="D25" s="28">
        <f>ROUND('All at USDF'!D11*D8,0)</f>
        <v/>
      </c>
      <c r="E25" s="28">
        <f>ROUND('All at USDF'!E11*E8,0)</f>
        <v/>
      </c>
      <c r="F25" s="28">
        <f>ROUND('All at USDF'!F11*F8,0)</f>
        <v/>
      </c>
      <c r="G25" s="28">
        <f>ROUND('All at USDF'!G11*G8,0)</f>
        <v/>
      </c>
      <c r="H25" s="28">
        <f>ROUND('All at USDF'!H11*H8,0)</f>
        <v/>
      </c>
      <c r="I25" s="28">
        <f>ROUND('All at USDF'!I11*I8,0)</f>
        <v/>
      </c>
      <c r="J25" s="28">
        <f>ROUND('All at USDF'!J11*J8,0)</f>
        <v/>
      </c>
      <c r="K25" s="28">
        <f>ROUND('All at USDF'!K11*K8,0)</f>
        <v/>
      </c>
      <c r="L25" s="28">
        <f>ROUND('All at USDF'!L11*L8,0)</f>
        <v/>
      </c>
    </row>
    <row r="26">
      <c r="A26" s="23" t="inlineStr">
        <is>
          <t>UK / UKDF</t>
        </is>
      </c>
      <c r="B26" s="23" t="inlineStr">
        <is>
          <t>cores</t>
        </is>
      </c>
      <c r="C26" s="28">
        <f>ROUND('All at USDF'!C11*C9,0)</f>
        <v/>
      </c>
      <c r="D26" s="28">
        <f>ROUND('All at USDF'!D11*D9,0)</f>
        <v/>
      </c>
      <c r="E26" s="28">
        <f>ROUND('All at USDF'!E11*E9,0)</f>
        <v/>
      </c>
      <c r="F26" s="28">
        <f>ROUND('All at USDF'!F11*F9,0)</f>
        <v/>
      </c>
      <c r="G26" s="28">
        <f>ROUND('All at USDF'!G11*G9,0)</f>
        <v/>
      </c>
      <c r="H26" s="28">
        <f>ROUND('All at USDF'!H11*H9,0)</f>
        <v/>
      </c>
      <c r="I26" s="28">
        <f>ROUND('All at USDF'!I11*I9,0)</f>
        <v/>
      </c>
      <c r="J26" s="28">
        <f>ROUND('All at USDF'!J11*J9,0)</f>
        <v/>
      </c>
      <c r="K26" s="28">
        <f>ROUND('All at USDF'!K11*K9,0)</f>
        <v/>
      </c>
      <c r="L26" s="28">
        <f>ROUND('All at USDF'!L11*L9,0)</f>
        <v/>
      </c>
    </row>
    <row r="28">
      <c r="A28" s="3" t="inlineStr">
        <is>
          <t>CAPACITY CHECKS</t>
        </is>
      </c>
      <c r="B28" s="4" t="n"/>
      <c r="C28" s="4" t="n"/>
      <c r="D28" s="4" t="n"/>
      <c r="E28" s="4" t="n"/>
      <c r="F28" s="4" t="n"/>
      <c r="G28" s="4" t="n"/>
      <c r="H28" s="4" t="n"/>
      <c r="I28" s="4" t="n"/>
      <c r="J28" s="4" t="n"/>
      <c r="K28" s="4" t="n"/>
      <c r="L28" s="4" t="n"/>
    </row>
    <row r="29">
      <c r="A29" s="23" t="inlineStr">
        <is>
          <t>USDF peak cores vs fleet (Milano-equivalent)</t>
        </is>
      </c>
      <c r="B29" s="23" t="inlineStr">
        <is>
          <t>%</t>
        </is>
      </c>
      <c r="C29" s="33">
        <f>C24/'Key Numbers'!$B$63</f>
        <v/>
      </c>
      <c r="D29" s="33">
        <f>D24/'Key Numbers'!$B$63</f>
        <v/>
      </c>
      <c r="E29" s="33">
        <f>E24/'Key Numbers'!$B$63</f>
        <v/>
      </c>
      <c r="F29" s="33">
        <f>F24/'Key Numbers'!$B$63</f>
        <v/>
      </c>
      <c r="G29" s="33">
        <f>G24/'Key Numbers'!$B$63</f>
        <v/>
      </c>
      <c r="H29" s="33">
        <f>H24/'Key Numbers'!$B$63</f>
        <v/>
      </c>
      <c r="I29" s="33">
        <f>I24/'Key Numbers'!$B$63</f>
        <v/>
      </c>
      <c r="J29" s="33">
        <f>J24/'Key Numbers'!$B$63</f>
        <v/>
      </c>
      <c r="K29" s="33">
        <f>K24/'Key Numbers'!$B$63</f>
        <v/>
      </c>
      <c r="L29" s="33">
        <f>L24/'Key Numbers'!$B$63</f>
        <v/>
      </c>
    </row>
    <row r="30">
      <c r="A30" s="23" t="inlineStr">
        <is>
          <t>UK required vs UK provisioned capacity</t>
        </is>
      </c>
      <c r="B30" s="23" t="inlineStr">
        <is>
          <t>%</t>
        </is>
      </c>
      <c r="C30" s="33">
        <f>C16/'Key Numbers'!$B$73</f>
        <v/>
      </c>
      <c r="D30" s="33">
        <f>D16/'Key Numbers'!$B$73</f>
        <v/>
      </c>
      <c r="E30" s="33">
        <f>E16/'Key Numbers'!$B$73</f>
        <v/>
      </c>
      <c r="F30" s="33">
        <f>F16/'Key Numbers'!$B$73</f>
        <v/>
      </c>
      <c r="G30" s="33">
        <f>G16/'Key Numbers'!$B$73</f>
        <v/>
      </c>
      <c r="H30" s="33">
        <f>H16/'Key Numbers'!$B$73</f>
        <v/>
      </c>
      <c r="I30" s="33">
        <f>I16/'Key Numbers'!$B$73</f>
        <v/>
      </c>
      <c r="J30" s="33">
        <f>J16/'Key Numbers'!$B$73</f>
        <v/>
      </c>
      <c r="K30" s="33">
        <f>K16/'Key Numbers'!$B$73</f>
        <v/>
      </c>
      <c r="L30" s="33">
        <f>L16/'Key Numbers'!$B$73</f>
        <v/>
      </c>
    </row>
    <row r="31">
      <c r="A31" s="2" t="inlineStr">
        <is>
          <t>France provisioned capacity not yet supplied.</t>
        </is>
      </c>
    </row>
    <row r="33">
      <c r="A33" s="3" t="inlineStr">
        <is>
          <t>STORAGE IMPLICATIONS OF THE SPLIT</t>
        </is>
      </c>
      <c r="B33" s="4" t="n"/>
      <c r="C33" s="4" t="n"/>
      <c r="D33" s="4" t="n"/>
      <c r="E33" s="4" t="n"/>
      <c r="F33" s="4" t="n"/>
      <c r="G33" s="4" t="n"/>
      <c r="H33" s="4" t="n"/>
      <c r="I33" s="4" t="n"/>
      <c r="J33" s="4" t="n"/>
      <c r="K33" s="4" t="n"/>
      <c r="L33" s="4" t="n"/>
    </row>
    <row r="34">
      <c r="A34" s="23" t="inlineStr">
        <is>
          <t>Live intermediates held at France</t>
        </is>
      </c>
      <c r="B34" s="23" t="inlineStr">
        <is>
          <t>PB</t>
        </is>
      </c>
      <c r="C34" s="27">
        <f>'All at USDF'!C22*C8</f>
        <v/>
      </c>
      <c r="D34" s="27">
        <f>'All at USDF'!D22*D8</f>
        <v/>
      </c>
      <c r="E34" s="27">
        <f>'All at USDF'!E22*E8</f>
        <v/>
      </c>
      <c r="F34" s="27">
        <f>'All at USDF'!F22*F8</f>
        <v/>
      </c>
      <c r="G34" s="27">
        <f>'All at USDF'!G22*G8</f>
        <v/>
      </c>
      <c r="H34" s="27">
        <f>'All at USDF'!H22*H8</f>
        <v/>
      </c>
      <c r="I34" s="27">
        <f>'All at USDF'!I22*I8</f>
        <v/>
      </c>
      <c r="J34" s="27">
        <f>'All at USDF'!J22*J8</f>
        <v/>
      </c>
      <c r="K34" s="27">
        <f>'All at USDF'!K22*K8</f>
        <v/>
      </c>
      <c r="L34" s="27">
        <f>'All at USDF'!L22*L8</f>
        <v/>
      </c>
    </row>
    <row r="35">
      <c r="A35" s="23" t="inlineStr">
        <is>
          <t>Live intermediates held at UK</t>
        </is>
      </c>
      <c r="B35" s="23" t="inlineStr">
        <is>
          <t>PB</t>
        </is>
      </c>
      <c r="C35" s="27">
        <f>'All at USDF'!C22*C9</f>
        <v/>
      </c>
      <c r="D35" s="27">
        <f>'All at USDF'!D22*D9</f>
        <v/>
      </c>
      <c r="E35" s="27">
        <f>'All at USDF'!E22*E9</f>
        <v/>
      </c>
      <c r="F35" s="27">
        <f>'All at USDF'!F22*F9</f>
        <v/>
      </c>
      <c r="G35" s="27">
        <f>'All at USDF'!G22*G9</f>
        <v/>
      </c>
      <c r="H35" s="27">
        <f>'All at USDF'!H22*H9</f>
        <v/>
      </c>
      <c r="I35" s="27">
        <f>'All at USDF'!I22*I9</f>
        <v/>
      </c>
      <c r="J35" s="27">
        <f>'All at USDF'!J22*J9</f>
        <v/>
      </c>
      <c r="K35" s="27">
        <f>'All at USDF'!K22*K9</f>
        <v/>
      </c>
      <c r="L35" s="27">
        <f>'All at USDF'!L22*L9</f>
        <v/>
      </c>
    </row>
    <row r="36">
      <c r="A36" s="23" t="inlineStr">
        <is>
          <t>Retained releases archived at USDF (unchanged by split)</t>
        </is>
      </c>
      <c r="B36" s="23" t="inlineStr">
        <is>
          <t>PB</t>
        </is>
      </c>
      <c r="C36" s="37">
        <f>'All at USDF'!C23</f>
        <v/>
      </c>
      <c r="D36" s="37">
        <f>'All at USDF'!D23</f>
        <v/>
      </c>
      <c r="E36" s="37">
        <f>'All at USDF'!E23</f>
        <v/>
      </c>
      <c r="F36" s="37">
        <f>'All at USDF'!F23</f>
        <v/>
      </c>
      <c r="G36" s="37">
        <f>'All at USDF'!G23</f>
        <v/>
      </c>
      <c r="H36" s="37">
        <f>'All at USDF'!H23</f>
        <v/>
      </c>
      <c r="I36" s="37">
        <f>'All at USDF'!I23</f>
        <v/>
      </c>
      <c r="J36" s="37">
        <f>'All at USDF'!J23</f>
        <v/>
      </c>
      <c r="K36" s="37">
        <f>'All at USDF'!K23</f>
        <v/>
      </c>
      <c r="L36" s="37">
        <f>'All at USDF'!L23</f>
        <v/>
      </c>
    </row>
    <row r="38" ht="26" customHeight="1">
      <c r="A38" s="29" t="inlineStr">
        <is>
          <t>Partner facilities hold live intermediates for their share of the processing only; all release products transfer back to USDF for the archive. The per-year profiles are provisional — replace them with each partner's own plan when available.</t>
        </is>
      </c>
    </row>
  </sheetData>
  <mergeCells count="1">
    <mergeCell ref="A38:L38"/>
  </mergeCells>
  <pageMargins left="0.75" right="0.75" top="1" bottom="1" header="0.5" footer="0.5"/>
</worksheet>
</file>

<file path=xl/worksheets/sheet4.xml><?xml version="1.0" encoding="utf-8"?>
<worksheet xmlns="http://schemas.openxmlformats.org/spreadsheetml/2006/main">
  <sheetPr>
    <tabColor rgb="007030A0"/>
    <outlinePr summaryBelow="1" summaryRight="1"/>
    <pageSetUpPr/>
  </sheetPr>
  <dimension ref="A1:L49"/>
  <sheetViews>
    <sheetView workbookViewId="0">
      <selection activeCell="A1" sqref="A1"/>
    </sheetView>
  </sheetViews>
  <sheetFormatPr baseColWidth="8" defaultRowHeight="15"/>
  <cols>
    <col width="48" customWidth="1" min="1" max="1"/>
    <col width="1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 t="inlineStr">
        <is>
          <t>Qserv — cluster specification and node projection</t>
        </is>
      </c>
    </row>
    <row r="3">
      <c r="A3" s="3" t="inlineStr">
        <is>
          <t>CLUSTER SPECIFICATION (as of September 2026) — documentation, not calculation inputs</t>
        </is>
      </c>
      <c r="B3" s="4" t="n"/>
      <c r="C3" s="4" t="n"/>
      <c r="D3" s="4" t="n"/>
      <c r="E3" s="4" t="n"/>
      <c r="F3" s="4" t="n"/>
      <c r="G3" s="4" t="n"/>
      <c r="H3" s="4" t="n"/>
      <c r="I3" s="4" t="n"/>
      <c r="J3" s="4" t="n"/>
      <c r="K3" s="4" t="n"/>
      <c r="L3" s="4" t="n"/>
    </row>
    <row r="4" ht="28" customHeight="1">
      <c r="A4" s="26" t="inlineStr">
        <is>
          <t>Deployments</t>
        </is>
      </c>
      <c r="C4" s="38" t="inlineStr">
        <is>
          <t>35-node Kubernetes production (serves DP2) + 35-node Kubernetes integration + 6-node Docker integration. Production and integration are the same size and hardware; their replication settings are not known to match</t>
        </is>
      </c>
    </row>
    <row r="5" ht="28" customHeight="1">
      <c r="A5" s="26" t="inlineStr">
        <is>
          <t>CPU per node</t>
        </is>
      </c>
      <c r="C5" s="38" t="inlineStr">
        <is>
          <t>1 x AMD EPYC 7543P, 32 cores / 64 hardware threads (SMT enabled)</t>
        </is>
      </c>
    </row>
    <row r="6" ht="28" customHeight="1">
      <c r="A6" s="26" t="inlineStr">
        <is>
          <t>RAM per node</t>
        </is>
      </c>
      <c r="C6" s="38" t="inlineStr">
        <is>
          <t>256 GB</t>
        </is>
      </c>
    </row>
    <row r="7" ht="28" customHeight="1">
      <c r="A7" s="26" t="inlineStr">
        <is>
          <t>Storage per node</t>
        </is>
      </c>
      <c r="C7" s="38" t="inlineStr">
        <is>
          <t>Node-local NVMe, shared-nothing, no network storage in the query path: 12 of 24 slots populated = 32 TB raw; ZFS compression gives ~2x, so ~64 TB effective; filling the remaining slots would double raw capacity</t>
        </is>
      </c>
    </row>
    <row r="8" ht="28" customHeight="1">
      <c r="A8" s="26" t="inlineStr">
        <is>
          <t>Internal network</t>
        </is>
      </c>
      <c r="C8" s="38" t="inlineStr">
        <is>
          <t>100 GbE</t>
        </is>
      </c>
    </row>
    <row r="9" ht="28" customHeight="1">
      <c r="A9" s="26" t="inlineStr">
        <is>
          <t>Nodes procured</t>
        </is>
      </c>
      <c r="C9" s="38" t="inlineStr">
        <is>
          <t>102 across three procurement rounds, of which the deployments above are in service</t>
        </is>
      </c>
    </row>
    <row r="10" ht="28" customHeight="1">
      <c r="A10" s="26" t="inlineStr">
        <is>
          <t>Replication</t>
        </is>
      </c>
      <c r="C10" s="38" t="inlineStr">
        <is>
          <t>Three-fold on production. The measured catalogue figures in this model come from a deployment observed running two-fold, so on-disk totals here are provisioning figures at three-fold, not measurements</t>
        </is>
      </c>
    </row>
    <row r="11" ht="28" customHeight="1">
      <c r="A11" s="26" t="inlineStr">
        <is>
          <t>Relation to K8s fleet</t>
        </is>
      </c>
      <c r="C11" s="38" t="inlineStr">
        <is>
          <t>Most USDF Kubernetes nodes share this hardware configuration</t>
        </is>
      </c>
    </row>
    <row r="13">
      <c r="A13" s="22" t="inlineStr">
        <is>
          <t>Metric</t>
        </is>
      </c>
      <c r="B13" s="22" t="inlineStr">
        <is>
          <t>Unit</t>
        </is>
      </c>
      <c r="C13" s="22" t="inlineStr">
        <is>
          <t>LOY1</t>
        </is>
      </c>
      <c r="D13" s="22" t="inlineStr">
        <is>
          <t>LOY2</t>
        </is>
      </c>
      <c r="E13" s="22" t="inlineStr">
        <is>
          <t>LOY3</t>
        </is>
      </c>
      <c r="F13" s="22" t="inlineStr">
        <is>
          <t>LOY4</t>
        </is>
      </c>
      <c r="G13" s="22" t="inlineStr">
        <is>
          <t>LOY5</t>
        </is>
      </c>
      <c r="H13" s="22" t="inlineStr">
        <is>
          <t>LOY6</t>
        </is>
      </c>
      <c r="I13" s="22" t="inlineStr">
        <is>
          <t>LOY7</t>
        </is>
      </c>
      <c r="J13" s="22" t="inlineStr">
        <is>
          <t>LOY8</t>
        </is>
      </c>
      <c r="K13" s="22" t="inlineStr">
        <is>
          <t>LOY9</t>
        </is>
      </c>
      <c r="L13" s="22" t="inlineStr">
        <is>
          <t>LOY10</t>
        </is>
      </c>
    </row>
    <row r="14">
      <c r="A14" s="23" t="inlineStr">
        <is>
          <t>Fiscal Year</t>
        </is>
      </c>
      <c r="C14" s="23" t="inlineStr">
        <is>
          <t>FY2026</t>
        </is>
      </c>
      <c r="D14" s="23" t="inlineStr">
        <is>
          <t>FY2027</t>
        </is>
      </c>
      <c r="E14" s="23" t="inlineStr">
        <is>
          <t>FY2028</t>
        </is>
      </c>
      <c r="F14" s="23" t="inlineStr">
        <is>
          <t>FY2029</t>
        </is>
      </c>
      <c r="G14" s="23" t="inlineStr">
        <is>
          <t>FY2030</t>
        </is>
      </c>
      <c r="H14" s="23" t="inlineStr">
        <is>
          <t>FY2031</t>
        </is>
      </c>
      <c r="I14" s="23" t="inlineStr">
        <is>
          <t>FY2032</t>
        </is>
      </c>
      <c r="J14" s="23" t="inlineStr">
        <is>
          <t>FY2033</t>
        </is>
      </c>
      <c r="K14" s="23" t="inlineStr">
        <is>
          <t>FY2034</t>
        </is>
      </c>
      <c r="L14" s="23" t="inlineStr">
        <is>
          <t>FY2035</t>
        </is>
      </c>
    </row>
    <row r="15">
      <c r="A15" s="23" t="inlineStr">
        <is>
          <t>Milestone</t>
        </is>
      </c>
      <c r="C15" s="2" t="inlineStr">
        <is>
          <t>DP2</t>
        </is>
      </c>
      <c r="D15" s="2" t="inlineStr">
        <is>
          <t>DR1</t>
        </is>
      </c>
      <c r="E15" s="2" t="inlineStr">
        <is>
          <t>DR2</t>
        </is>
      </c>
      <c r="F15" s="2" t="inlineStr">
        <is>
          <t>DR3</t>
        </is>
      </c>
      <c r="G15" s="2" t="inlineStr">
        <is>
          <t>DR4</t>
        </is>
      </c>
      <c r="H15" s="2" t="inlineStr">
        <is>
          <t>DR5</t>
        </is>
      </c>
      <c r="I15" s="2" t="inlineStr">
        <is>
          <t>DR6</t>
        </is>
      </c>
      <c r="J15" s="2" t="inlineStr">
        <is>
          <t>DR7</t>
        </is>
      </c>
      <c r="K15" s="2" t="inlineStr">
        <is>
          <t>DR8</t>
        </is>
      </c>
      <c r="L15" s="2" t="inlineStr">
        <is>
          <t>DR9</t>
        </is>
      </c>
    </row>
    <row r="17">
      <c r="A17" s="3" t="inlineStr">
        <is>
          <t>CATALOG SIZES BY DATA RELEASE (first column is the data preview, measured not modelled)</t>
        </is>
      </c>
      <c r="B17" s="4" t="n"/>
      <c r="C17" s="4" t="n"/>
      <c r="D17" s="4" t="n"/>
      <c r="E17" s="4" t="n"/>
      <c r="F17" s="4" t="n"/>
      <c r="G17" s="4" t="n"/>
      <c r="H17" s="4" t="n"/>
      <c r="I17" s="4" t="n"/>
      <c r="J17" s="4" t="n"/>
      <c r="K17" s="4" t="n"/>
      <c r="L17" s="4" t="n"/>
    </row>
    <row r="18">
      <c r="A18" s="23" t="inlineStr">
        <is>
          <t>Objects</t>
        </is>
      </c>
      <c r="B18" s="23" t="inlineStr">
        <is>
          <t>billions</t>
        </is>
      </c>
      <c r="D18" s="39" t="n">
        <v>27.5</v>
      </c>
      <c r="E18" s="39" t="n">
        <v>32.5</v>
      </c>
      <c r="F18" s="39" t="n">
        <v>35.7</v>
      </c>
      <c r="G18" s="39" t="n">
        <v>38.2</v>
      </c>
      <c r="H18" s="39" t="n">
        <v>40.3</v>
      </c>
      <c r="I18" s="39" t="n">
        <v>42.2</v>
      </c>
      <c r="J18" s="39" t="n">
        <v>43.8</v>
      </c>
      <c r="K18" s="39" t="n">
        <v>45.3</v>
      </c>
      <c r="L18" s="39" t="n">
        <v>46.4</v>
      </c>
    </row>
    <row r="19">
      <c r="A19" s="23" t="inlineStr">
        <is>
          <t>Sources</t>
        </is>
      </c>
      <c r="B19" s="23" t="inlineStr">
        <is>
          <t>billions</t>
        </is>
      </c>
      <c r="D19" s="25" t="n">
        <v>901</v>
      </c>
      <c r="E19" s="25" t="n">
        <v>1800</v>
      </c>
      <c r="F19" s="25" t="n">
        <v>2700</v>
      </c>
      <c r="G19" s="25" t="n">
        <v>3600</v>
      </c>
      <c r="H19" s="25" t="n">
        <v>4510</v>
      </c>
      <c r="I19" s="25" t="n">
        <v>5410</v>
      </c>
      <c r="J19" s="25" t="n">
        <v>6310</v>
      </c>
      <c r="K19" s="25" t="n">
        <v>7210</v>
      </c>
      <c r="L19" s="25" t="n">
        <v>8110</v>
      </c>
    </row>
    <row r="20">
      <c r="A20" s="23" t="inlineStr">
        <is>
          <t>Forced sources</t>
        </is>
      </c>
      <c r="B20" s="23" t="inlineStr">
        <is>
          <t>billions</t>
        </is>
      </c>
      <c r="D20" s="25" t="n">
        <v>2910</v>
      </c>
      <c r="E20" s="25" t="n">
        <v>6870</v>
      </c>
      <c r="F20" s="25" t="n">
        <v>11300</v>
      </c>
      <c r="G20" s="25" t="n">
        <v>16100</v>
      </c>
      <c r="H20" s="25" t="n">
        <v>21300</v>
      </c>
      <c r="I20" s="25" t="n">
        <v>26700</v>
      </c>
      <c r="J20" s="25" t="n">
        <v>32400</v>
      </c>
      <c r="K20" s="25" t="n">
        <v>38300</v>
      </c>
      <c r="L20" s="25" t="n">
        <v>44100</v>
      </c>
    </row>
    <row r="21">
      <c r="A21" s="34" t="inlineStr">
        <is>
          <t xml:space="preserve">  row-size inflation vs DR1</t>
        </is>
      </c>
      <c r="B21" s="34" t="inlineStr">
        <is>
          <t>x</t>
        </is>
      </c>
      <c r="D21" s="40">
        <f>(1+'Key Numbers'!$B$84)^(COLUMN()-4)</f>
        <v/>
      </c>
      <c r="E21" s="40">
        <f>(1+'Key Numbers'!$B$84)^(COLUMN()-4)</f>
        <v/>
      </c>
      <c r="F21" s="40">
        <f>(1+'Key Numbers'!$B$84)^(COLUMN()-4)</f>
        <v/>
      </c>
      <c r="G21" s="40">
        <f>(1+'Key Numbers'!$B$84)^(COLUMN()-4)</f>
        <v/>
      </c>
      <c r="H21" s="40">
        <f>(1+'Key Numbers'!$B$84)^(COLUMN()-4)</f>
        <v/>
      </c>
      <c r="I21" s="40">
        <f>(1+'Key Numbers'!$B$84)^(COLUMN()-4)</f>
        <v/>
      </c>
      <c r="J21" s="40">
        <f>(1+'Key Numbers'!$B$84)^(COLUMN()-4)</f>
        <v/>
      </c>
      <c r="K21" s="40">
        <f>(1+'Key Numbers'!$B$84)^(COLUMN()-4)</f>
        <v/>
      </c>
      <c r="L21" s="40">
        <f>(1+'Key Numbers'!$B$84)^(COLUMN()-4)</f>
        <v/>
      </c>
    </row>
    <row r="23">
      <c r="A23" s="3" t="inlineStr">
        <is>
          <t>QSERV DATABASE SIZE</t>
        </is>
      </c>
      <c r="B23" s="4" t="n"/>
      <c r="C23" s="4" t="n"/>
      <c r="D23" s="4" t="n"/>
      <c r="E23" s="4" t="n"/>
      <c r="F23" s="4" t="n"/>
      <c r="G23" s="4" t="n"/>
      <c r="H23" s="4" t="n"/>
      <c r="I23" s="4" t="n"/>
      <c r="J23" s="4" t="n"/>
      <c r="K23" s="4" t="n"/>
      <c r="L23" s="4" t="n"/>
    </row>
    <row r="24">
      <c r="A24" s="23" t="inlineStr">
        <is>
          <t>Catalogue, logical uncompressed, one copy</t>
        </is>
      </c>
      <c r="B24" s="23" t="inlineStr">
        <is>
          <t>TB</t>
        </is>
      </c>
      <c r="D24" s="28">
        <f>((D18*('Key Numbers'!$B$80+'Key Numbers'!$B$81)+D19*'Key Numbers'!$B$82)*D21+D20*'Key Numbers'!$B$83)*1000000000/1000000000000</f>
        <v/>
      </c>
      <c r="E24" s="28">
        <f>((E18*('Key Numbers'!$B$80+'Key Numbers'!$B$81)+E19*'Key Numbers'!$B$82)*E21+E20*'Key Numbers'!$B$83)*1000000000/1000000000000</f>
        <v/>
      </c>
      <c r="F24" s="28">
        <f>((F18*('Key Numbers'!$B$80+'Key Numbers'!$B$81)+F19*'Key Numbers'!$B$82)*F21+F20*'Key Numbers'!$B$83)*1000000000/1000000000000</f>
        <v/>
      </c>
      <c r="G24" s="28">
        <f>((G18*('Key Numbers'!$B$80+'Key Numbers'!$B$81)+G19*'Key Numbers'!$B$82)*G21+G20*'Key Numbers'!$B$83)*1000000000/1000000000000</f>
        <v/>
      </c>
      <c r="H24" s="28">
        <f>((H18*('Key Numbers'!$B$80+'Key Numbers'!$B$81)+H19*'Key Numbers'!$B$82)*H21+H20*'Key Numbers'!$B$83)*1000000000/1000000000000</f>
        <v/>
      </c>
      <c r="I24" s="28">
        <f>((I18*('Key Numbers'!$B$80+'Key Numbers'!$B$81)+I19*'Key Numbers'!$B$82)*I21+I20*'Key Numbers'!$B$83)*1000000000/1000000000000</f>
        <v/>
      </c>
      <c r="J24" s="28">
        <f>((J18*('Key Numbers'!$B$80+'Key Numbers'!$B$81)+J19*'Key Numbers'!$B$82)*J21+J20*'Key Numbers'!$B$83)*1000000000/1000000000000</f>
        <v/>
      </c>
      <c r="K24" s="28">
        <f>((K18*('Key Numbers'!$B$80+'Key Numbers'!$B$81)+K19*'Key Numbers'!$B$82)*K21+K20*'Key Numbers'!$B$83)*1000000000/1000000000000</f>
        <v/>
      </c>
      <c r="L24" s="28">
        <f>((L18*('Key Numbers'!$B$80+'Key Numbers'!$B$81)+L19*'Key Numbers'!$B$82)*L21+L20*'Key Numbers'!$B$83)*1000000000/1000000000000</f>
        <v/>
      </c>
    </row>
    <row r="25">
      <c r="A25" s="23" t="inlineStr">
        <is>
          <t>Object table, replicated and compressed</t>
        </is>
      </c>
      <c r="B25" s="23" t="inlineStr">
        <is>
          <t>TB</t>
        </is>
      </c>
      <c r="D25" s="28">
        <f>D18*1000000000*'Key Numbers'!$B$80*'Key Numbers'!$B$85*'Key Numbers'!$B$77/1000000000000</f>
        <v/>
      </c>
      <c r="E25" s="28">
        <f>E18*1000000000*'Key Numbers'!$B$80*'Key Numbers'!$B$85*'Key Numbers'!$B$77/1000000000000</f>
        <v/>
      </c>
      <c r="F25" s="28">
        <f>F18*1000000000*'Key Numbers'!$B$80*'Key Numbers'!$B$85*'Key Numbers'!$B$77/1000000000000</f>
        <v/>
      </c>
      <c r="G25" s="28">
        <f>G18*1000000000*'Key Numbers'!$B$80*'Key Numbers'!$B$85*'Key Numbers'!$B$77/1000000000000</f>
        <v/>
      </c>
      <c r="H25" s="28">
        <f>H18*1000000000*'Key Numbers'!$B$80*'Key Numbers'!$B$85*'Key Numbers'!$B$77/1000000000000</f>
        <v/>
      </c>
      <c r="I25" s="28">
        <f>I18*1000000000*'Key Numbers'!$B$80*'Key Numbers'!$B$85*'Key Numbers'!$B$77/1000000000000</f>
        <v/>
      </c>
      <c r="J25" s="28">
        <f>J18*1000000000*'Key Numbers'!$B$80*'Key Numbers'!$B$85*'Key Numbers'!$B$77/1000000000000</f>
        <v/>
      </c>
      <c r="K25" s="28">
        <f>K18*1000000000*'Key Numbers'!$B$80*'Key Numbers'!$B$85*'Key Numbers'!$B$77/1000000000000</f>
        <v/>
      </c>
      <c r="L25" s="28">
        <f>L18*1000000000*'Key Numbers'!$B$80*'Key Numbers'!$B$85*'Key Numbers'!$B$77/1000000000000</f>
        <v/>
      </c>
    </row>
    <row r="26">
      <c r="A26" s="23" t="inlineStr">
        <is>
          <t>Worker database on disk, this release (replicated, compressed)</t>
        </is>
      </c>
      <c r="B26" s="23" t="inlineStr">
        <is>
          <t>TB</t>
        </is>
      </c>
      <c r="C26" s="28">
        <f>'Key Numbers'!$B$88*'Key Numbers'!$B$77</f>
        <v/>
      </c>
      <c r="D26" s="28">
        <f>D24*'Key Numbers'!$B$85*(1+'Key Numbers'!$B$78)*'Key Numbers'!$B$77</f>
        <v/>
      </c>
      <c r="E26" s="28">
        <f>E24*'Key Numbers'!$B$85*(1+'Key Numbers'!$B$78)*'Key Numbers'!$B$77</f>
        <v/>
      </c>
      <c r="F26" s="28">
        <f>F24*'Key Numbers'!$B$85*(1+'Key Numbers'!$B$78)*'Key Numbers'!$B$77</f>
        <v/>
      </c>
      <c r="G26" s="28">
        <f>G24*'Key Numbers'!$B$85*(1+'Key Numbers'!$B$78)*'Key Numbers'!$B$77</f>
        <v/>
      </c>
      <c r="H26" s="28">
        <f>H24*'Key Numbers'!$B$85*(1+'Key Numbers'!$B$78)*'Key Numbers'!$B$77</f>
        <v/>
      </c>
      <c r="I26" s="28">
        <f>I24*'Key Numbers'!$B$85*(1+'Key Numbers'!$B$78)*'Key Numbers'!$B$77</f>
        <v/>
      </c>
      <c r="J26" s="28">
        <f>J24*'Key Numbers'!$B$85*(1+'Key Numbers'!$B$78)*'Key Numbers'!$B$77</f>
        <v/>
      </c>
      <c r="K26" s="28">
        <f>K24*'Key Numbers'!$B$85*(1+'Key Numbers'!$B$78)*'Key Numbers'!$B$77</f>
        <v/>
      </c>
      <c r="L26" s="28">
        <f>L24*'Key Numbers'!$B$85*(1+'Key Numbers'!$B$78)*'Key Numbers'!$B$77</f>
        <v/>
      </c>
    </row>
    <row r="27">
      <c r="A27" s="23" t="inlineStr">
        <is>
          <t>Worker database, retention window</t>
        </is>
      </c>
      <c r="B27" s="23" t="inlineStr">
        <is>
          <t>TB</t>
        </is>
      </c>
      <c r="C27" s="28">
        <f>C26</f>
        <v/>
      </c>
      <c r="D27" s="28">
        <f>C26+D26</f>
        <v/>
      </c>
      <c r="E27" s="28">
        <f>C26+D26+E26</f>
        <v/>
      </c>
      <c r="F27" s="28">
        <f>D26+E26+F26</f>
        <v/>
      </c>
      <c r="G27" s="28">
        <f>E26+F26+G26</f>
        <v/>
      </c>
      <c r="H27" s="28">
        <f>F26+G26+H26</f>
        <v/>
      </c>
      <c r="I27" s="28">
        <f>G26+H26+I26</f>
        <v/>
      </c>
      <c r="J27" s="28">
        <f>H26+I26+J26</f>
        <v/>
      </c>
      <c r="K27" s="28">
        <f>I26+J26+K26</f>
        <v/>
      </c>
      <c r="L27" s="28">
        <f>J26+K26+L26</f>
        <v/>
      </c>
    </row>
    <row r="28">
      <c r="A28" s="34" t="inlineStr">
        <is>
          <t xml:space="preserve">  same in PB</t>
        </is>
      </c>
      <c r="B28" s="34" t="inlineStr">
        <is>
          <t>PB</t>
        </is>
      </c>
      <c r="C28" s="41">
        <f>C27/1000</f>
        <v/>
      </c>
      <c r="D28" s="41">
        <f>D27/1000</f>
        <v/>
      </c>
      <c r="E28" s="41">
        <f>E27/1000</f>
        <v/>
      </c>
      <c r="F28" s="41">
        <f>F27/1000</f>
        <v/>
      </c>
      <c r="G28" s="41">
        <f>G27/1000</f>
        <v/>
      </c>
      <c r="H28" s="41">
        <f>H27/1000</f>
        <v/>
      </c>
      <c r="I28" s="41">
        <f>I27/1000</f>
        <v/>
      </c>
      <c r="J28" s="41">
        <f>J27/1000</f>
        <v/>
      </c>
      <c r="K28" s="41">
        <f>K27/1000</f>
        <v/>
      </c>
      <c r="L28" s="41">
        <f>L27/1000</f>
        <v/>
      </c>
    </row>
    <row r="30">
      <c r="A30" s="3" t="inlineStr">
        <is>
          <t>CALIBRATION AGAINST MEASURED DATA</t>
        </is>
      </c>
      <c r="B30" s="4" t="n"/>
      <c r="C30" s="4" t="n"/>
      <c r="D30" s="4" t="n"/>
      <c r="E30" s="4" t="n"/>
      <c r="F30" s="4" t="n"/>
      <c r="G30" s="4" t="n"/>
      <c r="H30" s="4" t="n"/>
      <c r="I30" s="4" t="n"/>
      <c r="J30" s="4" t="n"/>
      <c r="K30" s="4" t="n"/>
      <c r="L30" s="4" t="n"/>
    </row>
    <row r="31">
      <c r="A31" s="23" t="inlineStr">
        <is>
          <t>Worker database per copy</t>
        </is>
      </c>
      <c r="B31" s="23" t="inlineStr">
        <is>
          <t>TB</t>
        </is>
      </c>
      <c r="C31" s="28">
        <f>C26/'Key Numbers'!$B$77</f>
        <v/>
      </c>
      <c r="D31" s="28">
        <f>D26/'Key Numbers'!$B$77</f>
        <v/>
      </c>
      <c r="E31" s="28">
        <f>E26/'Key Numbers'!$B$77</f>
        <v/>
      </c>
      <c r="F31" s="28">
        <f>F26/'Key Numbers'!$B$77</f>
        <v/>
      </c>
      <c r="G31" s="28">
        <f>G26/'Key Numbers'!$B$77</f>
        <v/>
      </c>
      <c r="H31" s="28">
        <f>H26/'Key Numbers'!$B$77</f>
        <v/>
      </c>
      <c r="I31" s="28">
        <f>I26/'Key Numbers'!$B$77</f>
        <v/>
      </c>
      <c r="J31" s="28">
        <f>J26/'Key Numbers'!$B$77</f>
        <v/>
      </c>
      <c r="K31" s="28">
        <f>K26/'Key Numbers'!$B$77</f>
        <v/>
      </c>
      <c r="L31" s="28">
        <f>L26/'Key Numbers'!$B$77</f>
        <v/>
      </c>
    </row>
    <row r="32">
      <c r="A32" s="23" t="inlineStr">
        <is>
          <t>As a multiple of the measured data preview</t>
        </is>
      </c>
      <c r="B32" s="23" t="inlineStr">
        <is>
          <t>x</t>
        </is>
      </c>
      <c r="C32" s="27">
        <f>C31/'Key Numbers'!$B$88</f>
        <v/>
      </c>
      <c r="D32" s="27">
        <f>D31/'Key Numbers'!$B$88</f>
        <v/>
      </c>
      <c r="E32" s="27">
        <f>E31/'Key Numbers'!$B$88</f>
        <v/>
      </c>
      <c r="F32" s="27">
        <f>F31/'Key Numbers'!$B$88</f>
        <v/>
      </c>
      <c r="G32" s="27">
        <f>G31/'Key Numbers'!$B$88</f>
        <v/>
      </c>
      <c r="H32" s="27">
        <f>H31/'Key Numbers'!$B$88</f>
        <v/>
      </c>
      <c r="I32" s="27">
        <f>I31/'Key Numbers'!$B$88</f>
        <v/>
      </c>
      <c r="J32" s="27">
        <f>J31/'Key Numbers'!$B$88</f>
        <v/>
      </c>
      <c r="K32" s="27">
        <f>K31/'Key Numbers'!$B$88</f>
        <v/>
      </c>
      <c r="L32" s="27">
        <f>L31/'Key Numbers'!$B$88</f>
        <v/>
      </c>
    </row>
    <row r="33">
      <c r="A33" s="34" t="inlineStr">
        <is>
          <t>Visits as a multiple of the data preview</t>
        </is>
      </c>
      <c r="B33" s="34" t="inlineStr">
        <is>
          <t>x</t>
        </is>
      </c>
      <c r="C33" s="42">
        <f>'All at USDF'!C7/('Key Numbers'!$B$92/('Key Numbers'!$B$4*'Key Numbers'!$B$5))</f>
        <v/>
      </c>
      <c r="D33" s="42">
        <f>'All at USDF'!D7/('Key Numbers'!$B$92/('Key Numbers'!$B$4*'Key Numbers'!$B$5))</f>
        <v/>
      </c>
      <c r="E33" s="42">
        <f>'All at USDF'!E7/('Key Numbers'!$B$92/('Key Numbers'!$B$4*'Key Numbers'!$B$5))</f>
        <v/>
      </c>
      <c r="F33" s="42">
        <f>'All at USDF'!F7/('Key Numbers'!$B$92/('Key Numbers'!$B$4*'Key Numbers'!$B$5))</f>
        <v/>
      </c>
      <c r="G33" s="42">
        <f>'All at USDF'!G7/('Key Numbers'!$B$92/('Key Numbers'!$B$4*'Key Numbers'!$B$5))</f>
        <v/>
      </c>
      <c r="H33" s="42">
        <f>'All at USDF'!H7/('Key Numbers'!$B$92/('Key Numbers'!$B$4*'Key Numbers'!$B$5))</f>
        <v/>
      </c>
      <c r="I33" s="42">
        <f>'All at USDF'!I7/('Key Numbers'!$B$92/('Key Numbers'!$B$4*'Key Numbers'!$B$5))</f>
        <v/>
      </c>
      <c r="J33" s="42">
        <f>'All at USDF'!J7/('Key Numbers'!$B$92/('Key Numbers'!$B$4*'Key Numbers'!$B$5))</f>
        <v/>
      </c>
      <c r="K33" s="42">
        <f>'All at USDF'!K7/('Key Numbers'!$B$92/('Key Numbers'!$B$4*'Key Numbers'!$B$5))</f>
        <v/>
      </c>
      <c r="L33" s="42">
        <f>'All at USDF'!L7/('Key Numbers'!$B$92/('Key Numbers'!$B$4*'Key Numbers'!$B$5))</f>
        <v/>
      </c>
    </row>
    <row r="34">
      <c r="A34" s="23" t="inlineStr">
        <is>
          <t>Independent DR1 estimate, per copy (midpoint)</t>
        </is>
      </c>
      <c r="B34" s="23" t="inlineStr">
        <is>
          <t>TB</t>
        </is>
      </c>
      <c r="D34" s="32">
        <f>('Key Numbers'!$B$86+'Key Numbers'!$B$87)/2*1000</f>
        <v/>
      </c>
    </row>
    <row r="35">
      <c r="A35" s="23" t="inlineStr">
        <is>
          <t>Model as a multiple of that estimate</t>
        </is>
      </c>
      <c r="B35" s="23" t="inlineStr">
        <is>
          <t>x</t>
        </is>
      </c>
      <c r="D35" s="31">
        <f>D31/D34</f>
        <v/>
      </c>
    </row>
    <row r="37">
      <c r="A37" s="3" t="inlineStr">
        <is>
          <t>NODE PROJECTION</t>
        </is>
      </c>
      <c r="B37" s="4" t="n"/>
      <c r="C37" s="4" t="n"/>
      <c r="D37" s="4" t="n"/>
      <c r="E37" s="4" t="n"/>
      <c r="F37" s="4" t="n"/>
      <c r="G37" s="4" t="n"/>
      <c r="H37" s="4" t="n"/>
      <c r="I37" s="4" t="n"/>
      <c r="J37" s="4" t="n"/>
      <c r="K37" s="4" t="n"/>
      <c r="L37" s="4" t="n"/>
    </row>
    <row r="38">
      <c r="A38" s="23" t="inlineStr">
        <is>
          <t>Data per node (drive-density ramp)</t>
        </is>
      </c>
      <c r="B38" s="23" t="inlineStr">
        <is>
          <t>TB/node</t>
        </is>
      </c>
      <c r="C38" s="39" t="n">
        <v>43.2</v>
      </c>
      <c r="D38" s="39" t="n">
        <v>43.2</v>
      </c>
      <c r="E38" s="39" t="n">
        <v>86.40000000000001</v>
      </c>
      <c r="F38" s="39" t="n">
        <v>86.40000000000001</v>
      </c>
      <c r="G38" s="39" t="n">
        <v>86.40000000000001</v>
      </c>
      <c r="H38" s="39" t="n">
        <v>86.40000000000001</v>
      </c>
      <c r="I38" s="39" t="n">
        <v>172.8</v>
      </c>
      <c r="J38" s="39" t="n">
        <v>172.8</v>
      </c>
      <c r="K38" s="39" t="n">
        <v>172.8</v>
      </c>
      <c r="L38" s="39" t="n">
        <v>172.8</v>
      </c>
    </row>
    <row r="39">
      <c r="A39" s="26" t="inlineStr">
        <is>
          <t>QSERV NODES NEEDED</t>
        </is>
      </c>
      <c r="B39" s="26" t="inlineStr">
        <is>
          <t>nodes</t>
        </is>
      </c>
      <c r="C39" s="28">
        <f>ROUNDUP(C27/C38,0)</f>
        <v/>
      </c>
      <c r="D39" s="28">
        <f>ROUNDUP(D27/D38,0)</f>
        <v/>
      </c>
      <c r="E39" s="28">
        <f>ROUNDUP(E27/E38,0)</f>
        <v/>
      </c>
      <c r="F39" s="28">
        <f>ROUNDUP(F27/F38,0)</f>
        <v/>
      </c>
      <c r="G39" s="28">
        <f>ROUNDUP(G27/G38,0)</f>
        <v/>
      </c>
      <c r="H39" s="28">
        <f>ROUNDUP(H27/H38,0)</f>
        <v/>
      </c>
      <c r="I39" s="28">
        <f>ROUNDUP(I27/I38,0)</f>
        <v/>
      </c>
      <c r="J39" s="28">
        <f>ROUNDUP(J27/J38,0)</f>
        <v/>
      </c>
      <c r="K39" s="28">
        <f>ROUNDUP(K27/K38,0)</f>
        <v/>
      </c>
      <c r="L39" s="28">
        <f>ROUNDUP(L27/L38,0)</f>
        <v/>
      </c>
    </row>
    <row r="40">
      <c r="A40" s="23" t="inlineStr">
        <is>
          <t>Qserv nodes deployed today</t>
        </is>
      </c>
      <c r="B40" s="23" t="inlineStr">
        <is>
          <t>nodes</t>
        </is>
      </c>
      <c r="C40" s="32">
        <f>'Key Numbers'!$B$76</f>
        <v/>
      </c>
      <c r="D40" s="32">
        <f>'Key Numbers'!$B$76</f>
        <v/>
      </c>
      <c r="E40" s="32">
        <f>'Key Numbers'!$B$76</f>
        <v/>
      </c>
      <c r="F40" s="32">
        <f>'Key Numbers'!$B$76</f>
        <v/>
      </c>
      <c r="G40" s="32">
        <f>'Key Numbers'!$B$76</f>
        <v/>
      </c>
      <c r="H40" s="32">
        <f>'Key Numbers'!$B$76</f>
        <v/>
      </c>
      <c r="I40" s="32">
        <f>'Key Numbers'!$B$76</f>
        <v/>
      </c>
      <c r="J40" s="32">
        <f>'Key Numbers'!$B$76</f>
        <v/>
      </c>
      <c r="K40" s="32">
        <f>'Key Numbers'!$B$76</f>
        <v/>
      </c>
      <c r="L40" s="32">
        <f>'Key Numbers'!$B$76</f>
        <v/>
      </c>
    </row>
    <row r="41">
      <c r="A41" s="23" t="inlineStr">
        <is>
          <t>Surplus / (gap)</t>
        </is>
      </c>
      <c r="B41" s="23" t="inlineStr">
        <is>
          <t>nodes</t>
        </is>
      </c>
      <c r="C41" s="28">
        <f>C40-C39</f>
        <v/>
      </c>
      <c r="D41" s="28">
        <f>D40-D39</f>
        <v/>
      </c>
      <c r="E41" s="28">
        <f>E40-E39</f>
        <v/>
      </c>
      <c r="F41" s="28">
        <f>F40-F39</f>
        <v/>
      </c>
      <c r="G41" s="28">
        <f>G40-G39</f>
        <v/>
      </c>
      <c r="H41" s="28">
        <f>H40-H39</f>
        <v/>
      </c>
      <c r="I41" s="28">
        <f>I40-I39</f>
        <v/>
      </c>
      <c r="J41" s="28">
        <f>J40-J39</f>
        <v/>
      </c>
      <c r="K41" s="28">
        <f>K40-K39</f>
        <v/>
      </c>
      <c r="L41" s="28">
        <f>L40-L39</f>
        <v/>
      </c>
    </row>
    <row r="43" ht="26" customHeight="1">
      <c r="A43" s="29" t="inlineStr">
        <is>
          <t>Database size = catalogue rows x row sizes x compression x replication, summed over the retention window. Node count divides that by the assumed usable TB per node, which ramps as drives densify. Replication is already included, so these are physical nodes.</t>
        </is>
      </c>
    </row>
    <row r="44" ht="26" customHeight="1">
      <c r="A44" s="29" t="inlineStr">
        <is>
          <t>STRUCTURE: the catalogue series are data-release scale — the first entry is DR1, one full survey-year — so they sit one column to the right of the data-preview column. No modelled catalogue counts exist for the preview, so that column is anchored on a measured figure instead. Both the compression factor and the replication factor are applied on top of the logical row, so the on-disk row is what a purchase has to cover.</t>
        </is>
      </c>
    </row>
    <row r="45" ht="26" customHeight="1">
      <c r="A45" s="29" t="inlineStr">
        <is>
          <t>CAVEAT: the calibration rows compare the modelled catalogue against the one measured point available. They are NOT expected to match exactly — the data preview covers a small sky area, so its object count is far below a data release, while sources scale with visits. They are there to keep the modelled figures next to measurement rather than to validate them. The modelled data-release columns rest on logical row sizes that have never been checked against a measured catalogue; until per-table row counts are available, treat them as an upper bound.</t>
        </is>
      </c>
    </row>
    <row r="46" ht="26" customHeight="1">
      <c r="A46" s="29" t="inlineStr">
        <is>
          <t>The replication factor and the row-size calibration are the two levers that move every catalogue figure. Both are marked on Key Numbers.</t>
        </is>
      </c>
    </row>
    <row r="47" ht="26" customHeight="1">
      <c r="A47" s="29" t="inlineStr">
        <is>
          <t>STRUCTURE: row sizes widen between releases, so the object and source terms carry the compounding inflation factor shown in the catalogue block above. Forced sources are excluded from it because that schema is fixed. The exponent counts releases since DR1, so a change of release cadence changes how far this compounds inside the ten years, not how fast it compounds per release.</t>
        </is>
      </c>
    </row>
    <row r="48" ht="26" customHeight="1">
      <c r="A48" s="29" t="inlineStr">
        <is>
          <t>CAVEAT: the last two calibration rows appear only in the DR1 column. They compare the modelled catalogue against an independently stated DR1 planning range, which drives nothing in this workbook. A multiple materially below 1 means the model is sizing under that expectation; treat a gap as unresolved rather than as either figure being confirmed.</t>
        </is>
      </c>
    </row>
    <row r="49" ht="26" customHeight="1">
      <c r="A49" s="29" t="inlineStr">
        <is>
          <t>CAVEAT: filesystem compression is applied once, on the capacity side, inside the data-per-node ramp. The row-size factor above must therefore stay on an uncompressed basis. Applying a compression ratio in both places understates the node count by roughly a factor of three.</t>
        </is>
      </c>
    </row>
  </sheetData>
  <mergeCells count="15">
    <mergeCell ref="C5:L5"/>
    <mergeCell ref="A43:L43"/>
    <mergeCell ref="C8:L8"/>
    <mergeCell ref="C9:L9"/>
    <mergeCell ref="C4:L4"/>
    <mergeCell ref="A47:L47"/>
    <mergeCell ref="A45:L45"/>
    <mergeCell ref="A46:L46"/>
    <mergeCell ref="A49:L49"/>
    <mergeCell ref="C7:L7"/>
    <mergeCell ref="A44:L44"/>
    <mergeCell ref="C6:L6"/>
    <mergeCell ref="C10:L10"/>
    <mergeCell ref="C11:L11"/>
    <mergeCell ref="A48:L48"/>
  </mergeCells>
  <pageMargins left="0.75" right="0.75" top="1" bottom="1" header="0.5" footer="0.5"/>
</worksheet>
</file>

<file path=xl/worksheets/sheet5.xml><?xml version="1.0" encoding="utf-8"?>
<worksheet xmlns="http://schemas.openxmlformats.org/spreadsheetml/2006/main">
  <sheetPr>
    <tabColor rgb="00FFC000"/>
    <outlinePr summaryBelow="1" summaryRight="1"/>
    <pageSetUpPr/>
  </sheetPr>
  <dimension ref="A1:E18"/>
  <sheetViews>
    <sheetView workbookViewId="0">
      <selection activeCell="A1" sqref="A1"/>
    </sheetView>
  </sheetViews>
  <sheetFormatPr baseColWidth="8" defaultRowHeight="15"/>
  <cols>
    <col width="48" customWidth="1" min="1" max="1"/>
    <col width="14" customWidth="1" min="2" max="2"/>
    <col width="16" customWidth="1" min="3" max="3"/>
    <col width="14" customWidth="1" min="4" max="4"/>
    <col width="14" customWidth="1" min="5" max="5"/>
  </cols>
  <sheetData>
    <row r="1">
      <c r="A1" s="1" t="inlineStr">
        <is>
          <t>Per-Facility Calculator — fill in the yellow cells for your facility</t>
        </is>
      </c>
    </row>
    <row r="3">
      <c r="A3" s="26" t="inlineStr">
        <is>
          <t>Loop year to evaluate (1-10)</t>
        </is>
      </c>
      <c r="B3" s="43" t="n">
        <v>2</v>
      </c>
      <c r="C3" s="2" t="inlineStr">
        <is>
          <t>LOY2 = FY2027 = DR1</t>
        </is>
      </c>
    </row>
    <row r="5">
      <c r="A5" s="22" t="inlineStr"/>
      <c r="B5" s="22" t="inlineStr">
        <is>
          <t>USDF</t>
        </is>
      </c>
      <c r="C5" s="22" t="inlineStr">
        <is>
          <t>France (CC-IN2P3)</t>
        </is>
      </c>
      <c r="D5" s="22" t="inlineStr">
        <is>
          <t>UK (UKDF)</t>
        </is>
      </c>
      <c r="E5" s="22" t="inlineStr">
        <is>
          <t>Your DF</t>
        </is>
      </c>
    </row>
    <row r="6">
      <c r="A6" s="23" t="inlineStr">
        <is>
          <t>DRP share (aggregate; per-year on Facility Split)</t>
        </is>
      </c>
      <c r="B6" s="44">
        <f>'Key Numbers'!$B$72</f>
        <v/>
      </c>
      <c r="C6" s="44">
        <f>'Key Numbers'!$B$70</f>
        <v/>
      </c>
      <c r="D6" s="44">
        <f>'Key Numbers'!$B$71</f>
        <v/>
      </c>
      <c r="E6" s="36" t="n">
        <v>0.1</v>
      </c>
    </row>
    <row r="7">
      <c r="A7" s="23" t="inlineStr">
        <is>
          <t>Cores per node</t>
        </is>
      </c>
      <c r="B7" s="32">
        <f>'Key Numbers'!$B$14</f>
        <v/>
      </c>
      <c r="C7" s="45" t="n">
        <v>120</v>
      </c>
      <c r="D7" s="45" t="n">
        <v>120</v>
      </c>
      <c r="E7" s="45" t="n">
        <v>128</v>
      </c>
    </row>
    <row r="8">
      <c r="A8" s="23" t="inlineStr">
        <is>
          <t>Processing window (days)</t>
        </is>
      </c>
      <c r="B8" s="32">
        <f>'Key Numbers'!$B$15</f>
        <v/>
      </c>
      <c r="C8" s="32">
        <f>'Key Numbers'!$B$15</f>
        <v/>
      </c>
      <c r="D8" s="32">
        <f>'Key Numbers'!$B$15</f>
        <v/>
      </c>
      <c r="E8" s="45" t="n">
        <v>200</v>
      </c>
    </row>
    <row r="9">
      <c r="A9" s="23" t="inlineStr">
        <is>
          <t>Provisioned capacity (core-hrs/yr)</t>
        </is>
      </c>
      <c r="B9" s="32">
        <f>'Key Numbers'!$B$63*'Key Numbers'!$B$15*24</f>
        <v/>
      </c>
      <c r="C9" s="45" t="inlineStr"/>
      <c r="D9" s="32">
        <f>'Key Numbers'!$B$73</f>
        <v/>
      </c>
      <c r="E9" s="45" t="n">
        <v>10000000</v>
      </c>
    </row>
    <row r="10">
      <c r="A10" s="3" t="inlineStr">
        <is>
          <t>COMPUTED</t>
        </is>
      </c>
      <c r="B10" s="4" t="n"/>
      <c r="C10" s="4" t="n"/>
      <c r="D10" s="4" t="n"/>
      <c r="E10" s="4" t="n"/>
    </row>
    <row r="11">
      <c r="A11" s="23" t="inlineStr">
        <is>
          <t>Total DRP work for that year — core-hours</t>
        </is>
      </c>
      <c r="B11" s="46">
        <f>INDEX('All at USDF'!$C$9:$L$9,1,$B$3)</f>
        <v/>
      </c>
      <c r="C11" s="46">
        <f>INDEX('All at USDF'!$C$9:$L$9,1,$B$3)</f>
        <v/>
      </c>
      <c r="D11" s="46">
        <f>INDEX('All at USDF'!$C$9:$L$9,1,$B$3)</f>
        <v/>
      </c>
      <c r="E11" s="46">
        <f>INDEX('All at USDF'!$C$9:$L$9,1,$B$3)</f>
        <v/>
      </c>
    </row>
    <row r="12">
      <c r="A12" s="23" t="inlineStr">
        <is>
          <t>Your facility — core-hours</t>
        </is>
      </c>
      <c r="B12" s="46">
        <f>B11*B6</f>
        <v/>
      </c>
      <c r="C12" s="46">
        <f>C11*C6</f>
        <v/>
      </c>
      <c r="D12" s="46">
        <f>D11*D6</f>
        <v/>
      </c>
      <c r="E12" s="46">
        <f>E11*E6</f>
        <v/>
      </c>
    </row>
    <row r="13">
      <c r="A13" s="23" t="inlineStr">
        <is>
          <t>Your facility — node-days</t>
        </is>
      </c>
      <c r="B13" s="46">
        <f>B12/(24*B7)</f>
        <v/>
      </c>
      <c r="C13" s="46">
        <f>C12/(24*C7)</f>
        <v/>
      </c>
      <c r="D13" s="46">
        <f>D12/(24*D7)</f>
        <v/>
      </c>
      <c r="E13" s="46">
        <f>E12/(24*E7)</f>
        <v/>
      </c>
    </row>
    <row r="14">
      <c r="A14" s="23" t="inlineStr">
        <is>
          <t>Your facility — peak concurrent cores</t>
        </is>
      </c>
      <c r="B14" s="46">
        <f>ROUND(B12/(B8*24)*'Key Numbers'!$B$16,0)</f>
        <v/>
      </c>
      <c r="C14" s="46">
        <f>ROUND(C12/(C8*24)*'Key Numbers'!$B$16,0)</f>
        <v/>
      </c>
      <c r="D14" s="46">
        <f>ROUND(D12/(D8*24)*'Key Numbers'!$B$16,0)</f>
        <v/>
      </c>
      <c r="E14" s="46">
        <f>ROUND(E12/(E8*24)*'Key Numbers'!$B$16,0)</f>
        <v/>
      </c>
    </row>
    <row r="15">
      <c r="A15" s="23" t="inlineStr">
        <is>
          <t>Nodes needed</t>
        </is>
      </c>
      <c r="B15" s="46">
        <f>ROUNDUP(B14/B7,0)</f>
        <v/>
      </c>
      <c r="C15" s="46">
        <f>ROUNDUP(C14/C7,0)</f>
        <v/>
      </c>
      <c r="D15" s="46">
        <f>ROUNDUP(D14/D7,0)</f>
        <v/>
      </c>
      <c r="E15" s="46">
        <f>ROUNDUP(E14/E7,0)</f>
        <v/>
      </c>
    </row>
    <row r="16">
      <c r="A16" s="23" t="inlineStr">
        <is>
          <t>Utilization vs provisioned</t>
        </is>
      </c>
      <c r="B16" s="47">
        <f>IF(B9="","",B12/B9)</f>
        <v/>
      </c>
      <c r="C16" s="47">
        <f>IF(C9="","",C12/C9)</f>
        <v/>
      </c>
      <c r="D16" s="47">
        <f>IF(D9="","",D12/D9)</f>
        <v/>
      </c>
      <c r="E16" s="47">
        <f>IF(E9="","",E12/E9)</f>
        <v/>
      </c>
    </row>
    <row r="18">
      <c r="A18" s="2" t="inlineStr">
        <is>
          <t>The 'Your DF' column holds example values (10% share, 128-core nodes, 10M core-hrs/yr) — replace with your facility's numbers. Yellow = edit, green = linked to Key Numbers. USDF provisioned capacity uses Milano-equivalent cores. The USDF-only RSP surcharge is deliberately excluded from this tab.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44" customWidth="1" min="1" max="1"/>
    <col width="14" customWidth="1" min="2" max="2"/>
    <col width="12" customWidth="1" min="3" max="3"/>
    <col width="12" customWidth="1" min="4" max="4"/>
    <col width="12" customWidth="1" min="5" max="5"/>
    <col width="12" customWidth="1" min="6" max="6"/>
    <col width="44" customWidth="1" min="7" max="7"/>
  </cols>
  <sheetData>
    <row r="1">
      <c r="A1" s="1" t="inlineStr">
        <is>
          <t>COST INPUTS (reference tab) — costs only</t>
        </is>
      </c>
    </row>
    <row r="2">
      <c r="A2" s="2" t="inlineStr">
        <is>
          <t>Sizing and data-product numbers are NOT duplicated here — they live on Key Numbers. Blue = raw input · Yellow = key assumption. Only the Pricing Forecast reads this tab.</t>
        </is>
      </c>
    </row>
    <row r="3">
      <c r="A3" s="3" t="inlineStr">
        <is>
          <t>UNIT COSTS</t>
        </is>
      </c>
      <c r="B3" s="4" t="n"/>
      <c r="C3" s="4" t="n"/>
      <c r="D3" s="4" t="n"/>
      <c r="E3" s="4" t="n"/>
      <c r="F3" s="4" t="n"/>
      <c r="G3" s="4" t="n"/>
    </row>
    <row r="4">
      <c r="A4" s="5" t="inlineStr">
        <is>
          <t>Torino batch node (768 GB RAM)</t>
        </is>
      </c>
      <c r="B4" s="48" t="n">
        <v>89355</v>
      </c>
      <c r="C4" s="5" t="inlineStr">
        <is>
          <t>$/node</t>
        </is>
      </c>
      <c r="D4" s="49" t="n"/>
      <c r="E4" s="49" t="n"/>
      <c r="F4" s="49" t="n"/>
      <c r="G4" s="7" t="inlineStr">
        <is>
          <t>current quote; assumed for all future batch purchases</t>
        </is>
      </c>
    </row>
    <row r="5">
      <c r="A5" s="5" t="inlineStr">
        <is>
          <t>K8s / Qserv-class node (EPYC 7543P)</t>
        </is>
      </c>
      <c r="B5" s="48" t="n">
        <v>30866</v>
      </c>
      <c r="C5" s="5" t="inlineStr">
        <is>
          <t>$/node</t>
        </is>
      </c>
      <c r="D5" s="49" t="n"/>
      <c r="E5" s="49" t="n"/>
      <c r="F5" s="49" t="n"/>
      <c r="G5" s="7" t="inlineStr">
        <is>
          <t>same hardware class serves both roles</t>
        </is>
      </c>
    </row>
    <row r="6">
      <c r="A6" s="5" t="inlineStr">
        <is>
          <t>Ceph usable disk</t>
        </is>
      </c>
      <c r="B6" s="14" t="n">
        <v>235.052</v>
      </c>
      <c r="C6" s="5" t="inlineStr">
        <is>
          <t>$/TB</t>
        </is>
      </c>
      <c r="D6" s="49" t="n"/>
      <c r="E6" s="49" t="n"/>
      <c r="F6" s="49" t="n"/>
      <c r="G6" s="7" t="inlineStr">
        <is>
          <t>enclosure cost divided by usable TB per enclosure</t>
        </is>
      </c>
    </row>
    <row r="7">
      <c r="A7" s="5" t="inlineStr">
        <is>
          <t>Tape / archive</t>
        </is>
      </c>
      <c r="B7" s="14" t="n">
        <v>8.625</v>
      </c>
      <c r="C7" s="5" t="inlineStr">
        <is>
          <t>$/TB</t>
        </is>
      </c>
      <c r="D7" s="49" t="n"/>
      <c r="E7" s="49" t="n"/>
      <c r="F7" s="49" t="n"/>
      <c r="G7" s="7" t="inlineStr">
        <is>
          <t>archive and backup estimate</t>
        </is>
      </c>
    </row>
    <row r="8">
      <c r="A8" s="5" t="inlineStr">
        <is>
          <t>Hosting per node per year</t>
        </is>
      </c>
      <c r="B8" s="48" t="n">
        <v>566</v>
      </c>
      <c r="C8" s="5" t="inlineStr">
        <is>
          <t>$/node-yr</t>
        </is>
      </c>
      <c r="D8" s="49" t="n"/>
      <c r="E8" s="49" t="n"/>
      <c r="F8" s="49" t="n"/>
      <c r="G8" s="7" t="inlineStr">
        <is>
          <t>carried from an earlier agreement and not re-quoted; the least well-founded figure on this tab</t>
        </is>
      </c>
    </row>
    <row r="9">
      <c r="A9" s="5" t="inlineStr">
        <is>
          <t>Overhead on hardware</t>
        </is>
      </c>
      <c r="B9" s="18" t="n">
        <v>0.14</v>
      </c>
      <c r="C9" s="5" t="inlineStr">
        <is>
          <t>%</t>
        </is>
      </c>
      <c r="D9" s="49" t="n"/>
      <c r="E9" s="49" t="n"/>
      <c r="F9" s="49" t="n"/>
      <c r="G9" s="7" t="inlineStr">
        <is>
          <t>applied to the hardware subtotal</t>
        </is>
      </c>
    </row>
    <row r="10">
      <c r="A10" s="5" t="inlineStr">
        <is>
          <t>Overhead, fixed annual</t>
        </is>
      </c>
      <c r="B10" s="50" t="n">
        <v>150000</v>
      </c>
      <c r="C10" s="5" t="inlineStr">
        <is>
          <t>$/yr</t>
        </is>
      </c>
      <c r="D10" s="49" t="n"/>
      <c r="E10" s="49" t="n"/>
      <c r="F10" s="49" t="n"/>
      <c r="G10" s="7" t="inlineStr"/>
    </row>
    <row r="11">
      <c r="A11" s="5" t="inlineStr">
        <is>
          <t>Annual price change</t>
        </is>
      </c>
      <c r="B11" s="16" t="n">
        <v>0</v>
      </c>
      <c r="C11" s="5" t="inlineStr">
        <is>
          <t>%/yr</t>
        </is>
      </c>
      <c r="D11" s="49" t="n"/>
      <c r="E11" s="49" t="n"/>
      <c r="F11" s="49" t="n"/>
      <c r="G11" s="7" t="inlineStr">
        <is>
          <t>0% holds prices flat; set negative for price falls</t>
        </is>
      </c>
    </row>
    <row r="13">
      <c r="A13" s="3" t="inlineStr">
        <is>
          <t>LIFECYCLE AND GROWTH</t>
        </is>
      </c>
      <c r="B13" s="4" t="n"/>
      <c r="C13" s="4" t="n"/>
      <c r="D13" s="4" t="n"/>
      <c r="E13" s="4" t="n"/>
      <c r="F13" s="4" t="n"/>
      <c r="G13" s="4" t="n"/>
    </row>
    <row r="14">
      <c r="A14" s="5" t="inlineStr">
        <is>
          <t>Compute hardware lifetime</t>
        </is>
      </c>
      <c r="B14" s="17" t="n">
        <v>5</v>
      </c>
      <c r="C14" s="5" t="inlineStr">
        <is>
          <t>years</t>
        </is>
      </c>
      <c r="D14" s="49" t="n"/>
      <c r="E14" s="49" t="n"/>
      <c r="F14" s="49" t="n"/>
      <c r="G14" s="7" t="inlineStr">
        <is>
          <t>a cohort bought in FY_x is replaced in FY_x + lifetime</t>
        </is>
      </c>
    </row>
    <row r="15">
      <c r="A15" s="5" t="inlineStr">
        <is>
          <t>Storage hardware lifetime</t>
        </is>
      </c>
      <c r="B15" s="17" t="n">
        <v>5</v>
      </c>
      <c r="C15" s="5" t="inlineStr">
        <is>
          <t>years</t>
        </is>
      </c>
      <c r="D15" s="49" t="n"/>
      <c r="E15" s="49" t="n"/>
      <c r="F15" s="49" t="n"/>
      <c r="G15" s="7" t="inlineStr">
        <is>
          <t>disk capacity is re-bought after this many years</t>
        </is>
      </c>
    </row>
    <row r="16">
      <c r="A16" s="5" t="inlineStr">
        <is>
          <t>K8s annual growth</t>
        </is>
      </c>
      <c r="B16" s="18" t="n">
        <v>0.05</v>
      </c>
      <c r="C16" s="5" t="inlineStr">
        <is>
          <t>fraction</t>
        </is>
      </c>
      <c r="D16" s="49" t="n"/>
      <c r="E16" s="49" t="n"/>
      <c r="F16" s="49" t="n"/>
      <c r="G16" s="7" t="inlineStr">
        <is>
          <t>services growth, applied to the deployed K8s base on Key Numbers</t>
        </is>
      </c>
    </row>
    <row r="18">
      <c r="A18" s="3" t="inlineStr">
        <is>
          <t>HISTORIC PURCHASES BY FISCAL YEAR (drives cohort refresh)</t>
        </is>
      </c>
      <c r="B18" s="4" t="n"/>
      <c r="C18" s="4" t="n"/>
      <c r="D18" s="4" t="n"/>
      <c r="E18" s="4" t="n"/>
      <c r="F18" s="4" t="n"/>
      <c r="G18" s="4" t="n"/>
    </row>
    <row r="19">
      <c r="B19" s="22" t="inlineStr">
        <is>
          <t>FY2021</t>
        </is>
      </c>
      <c r="C19" s="22" t="inlineStr">
        <is>
          <t>FY2022</t>
        </is>
      </c>
      <c r="D19" s="22" t="inlineStr">
        <is>
          <t>FY2023</t>
        </is>
      </c>
      <c r="E19" s="22" t="inlineStr">
        <is>
          <t>FY2024</t>
        </is>
      </c>
      <c r="F19" s="22" t="inlineStr">
        <is>
          <t>FY2025</t>
        </is>
      </c>
    </row>
    <row r="20">
      <c r="A20" s="23" t="inlineStr">
        <is>
          <t>Batch nodes purchased</t>
        </is>
      </c>
      <c r="B20" s="45" t="n">
        <v>0</v>
      </c>
      <c r="C20" s="45" t="n">
        <v>0</v>
      </c>
      <c r="D20" s="45" t="n">
        <v>72</v>
      </c>
      <c r="E20" s="45" t="n">
        <v>50</v>
      </c>
      <c r="F20" s="45" t="n">
        <v>35</v>
      </c>
      <c r="G20" s="2" t="inlineStr">
        <is>
          <t>the final-year count is assumed rather than recorded</t>
        </is>
      </c>
    </row>
    <row r="21">
      <c r="A21" s="23" t="inlineStr">
        <is>
          <t>Qserv nodes purchased</t>
        </is>
      </c>
      <c r="B21" s="45" t="n">
        <v>0</v>
      </c>
      <c r="C21" s="45" t="n">
        <v>0</v>
      </c>
      <c r="D21" s="45" t="n">
        <v>47</v>
      </c>
      <c r="E21" s="45" t="n">
        <v>55</v>
      </c>
      <c r="F21" s="45" t="n">
        <v>0</v>
      </c>
      <c r="G21" s="2" t="inlineStr"/>
    </row>
    <row r="22">
      <c r="A22" s="23" t="inlineStr">
        <is>
          <t>K8s nodes purchased</t>
        </is>
      </c>
      <c r="B22" s="45" t="n">
        <v>0</v>
      </c>
      <c r="C22" s="45" t="n">
        <v>16</v>
      </c>
      <c r="D22" s="45" t="n">
        <v>32</v>
      </c>
      <c r="E22" s="45" t="n">
        <v>30</v>
      </c>
      <c r="F22" s="45" t="n">
        <v>0</v>
      </c>
      <c r="G22" s="2" t="inlineStr"/>
    </row>
    <row r="24">
      <c r="A24" s="3" t="inlineStr">
        <is>
          <t>CURRENT-YEAR ACTUAL REQUESTS</t>
        </is>
      </c>
      <c r="B24" s="4" t="n"/>
      <c r="C24" s="4" t="n"/>
      <c r="D24" s="4" t="n"/>
      <c r="E24" s="4" t="n"/>
      <c r="F24" s="4" t="n"/>
      <c r="G24" s="4" t="n"/>
    </row>
    <row r="25">
      <c r="A25" s="5" t="inlineStr">
        <is>
          <t>Batch nodes requested</t>
        </is>
      </c>
      <c r="B25" s="6" t="n">
        <v>0</v>
      </c>
      <c r="C25" s="5" t="inlineStr">
        <is>
          <t>nodes</t>
        </is>
      </c>
      <c r="D25" s="49" t="n"/>
      <c r="E25" s="49" t="n"/>
      <c r="F25" s="49" t="n"/>
      <c r="G25" s="7" t="inlineStr">
        <is>
          <t>zero — the existing fleet covers FY2026</t>
        </is>
      </c>
    </row>
    <row r="26">
      <c r="A26" s="5" t="inlineStr">
        <is>
          <t>K8s nodes requested</t>
        </is>
      </c>
      <c r="B26" s="6" t="n">
        <v>24</v>
      </c>
      <c r="C26" s="5" t="inlineStr">
        <is>
          <t>nodes</t>
        </is>
      </c>
      <c r="D26" s="49" t="n"/>
      <c r="E26" s="49" t="n"/>
      <c r="F26" s="49" t="n"/>
      <c r="G26" s="7" t="inlineStr"/>
    </row>
    <row r="27">
      <c r="A27" s="5" t="inlineStr">
        <is>
          <t>K8s cost</t>
        </is>
      </c>
      <c r="B27" s="50" t="n">
        <v>740784</v>
      </c>
      <c r="C27" s="5" t="inlineStr">
        <is>
          <t>$</t>
        </is>
      </c>
      <c r="D27" s="49" t="n"/>
      <c r="E27" s="49" t="n"/>
      <c r="F27" s="49" t="n"/>
      <c r="G27" s="7" t="inlineStr"/>
    </row>
    <row r="28">
      <c r="A28" s="5" t="inlineStr">
        <is>
          <t>Disk requested</t>
        </is>
      </c>
      <c r="B28" s="6" t="n">
        <v>10082</v>
      </c>
      <c r="C28" s="5" t="inlineStr">
        <is>
          <t>TB</t>
        </is>
      </c>
      <c r="D28" s="49" t="n"/>
      <c r="E28" s="49" t="n"/>
      <c r="F28" s="49" t="n"/>
      <c r="G28" s="7" t="inlineStr">
        <is>
          <t>usable Ceph</t>
        </is>
      </c>
    </row>
    <row r="29">
      <c r="A29" s="5" t="inlineStr">
        <is>
          <t>Disk cost</t>
        </is>
      </c>
      <c r="B29" s="50" t="n">
        <v>2369794</v>
      </c>
      <c r="C29" s="5" t="inlineStr">
        <is>
          <t>$</t>
        </is>
      </c>
      <c r="D29" s="49" t="n"/>
      <c r="E29" s="49" t="n"/>
      <c r="F29" s="49" t="n"/>
      <c r="G29" s="7" t="inlineStr"/>
    </row>
    <row r="30">
      <c r="A30" s="5" t="inlineStr">
        <is>
          <t>Archive requested</t>
        </is>
      </c>
      <c r="B30" s="6" t="n">
        <v>5000</v>
      </c>
      <c r="C30" s="5" t="inlineStr">
        <is>
          <t>TB</t>
        </is>
      </c>
      <c r="D30" s="49" t="n"/>
      <c r="E30" s="49" t="n"/>
      <c r="F30" s="49" t="n"/>
      <c r="G30" s="7" t="inlineStr"/>
    </row>
    <row r="31">
      <c r="A31" s="5" t="inlineStr">
        <is>
          <t>Archive cost</t>
        </is>
      </c>
      <c r="B31" s="50" t="n">
        <v>43125</v>
      </c>
      <c r="C31" s="5" t="inlineStr">
        <is>
          <t>$</t>
        </is>
      </c>
      <c r="D31" s="49" t="n"/>
      <c r="E31" s="49" t="n"/>
      <c r="F31" s="49" t="n"/>
      <c r="G31" s="7" t="inlineStr"/>
    </row>
    <row r="33" ht="26" customHeight="1">
      <c r="A33" s="29" t="inlineStr">
        <is>
          <t>These are the only cost numbers in the workbook. Everything the forecast needs about data volumes, core-hours, fleet size or facility shares is read from the Key Numbers tab.</t>
        </is>
      </c>
    </row>
    <row r="34" ht="26" customHeight="1">
      <c r="A34" s="29" t="inlineStr">
        <is>
          <t>Hosting and overhead are carried from an earlier agreement and were not re-quoted; treat them as the least well-founded figures here.</t>
        </is>
      </c>
    </row>
  </sheetData>
  <mergeCells count="2">
    <mergeCell ref="A33:G33"/>
    <mergeCell ref="A34:G34"/>
  </mergeCells>
  <pageMargins left="0.75" right="0.75" top="1" bottom="1" header="0.5" footer="0.5"/>
</worksheet>
</file>

<file path=xl/worksheets/sheet7.xml><?xml version="1.0" encoding="utf-8"?>
<worksheet xmlns="http://schemas.openxmlformats.org/spreadsheetml/2006/main">
  <sheetPr>
    <tabColor rgb="00C00000"/>
    <outlinePr summaryBelow="1" summaryRight="1"/>
    <pageSetUpPr/>
  </sheetPr>
  <dimension ref="A1:M54"/>
  <sheetViews>
    <sheetView workbookViewId="0">
      <selection activeCell="A1" sqref="A1"/>
    </sheetView>
  </sheetViews>
  <sheetFormatPr baseColWidth="8" defaultRowHeight="15"/>
  <cols>
    <col width="48" customWidth="1" min="1" max="1"/>
    <col width="11"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 t="inlineStr">
        <is>
          <t>USDF PRICING FORECAST — everything at USDF (partner facility prices unknown)</t>
        </is>
      </c>
    </row>
    <row r="2">
      <c r="A2" s="22" t="inlineStr">
        <is>
          <t>Metric</t>
        </is>
      </c>
      <c r="B2" s="22" t="inlineStr">
        <is>
          <t>Unit</t>
        </is>
      </c>
      <c r="C2" s="22" t="inlineStr">
        <is>
          <t>FY2026</t>
        </is>
      </c>
      <c r="D2" s="22" t="inlineStr">
        <is>
          <t>FY2027</t>
        </is>
      </c>
      <c r="E2" s="22" t="inlineStr">
        <is>
          <t>FY2028</t>
        </is>
      </c>
      <c r="F2" s="22" t="inlineStr">
        <is>
          <t>FY2029</t>
        </is>
      </c>
      <c r="G2" s="22" t="inlineStr">
        <is>
          <t>FY2030</t>
        </is>
      </c>
      <c r="H2" s="22" t="inlineStr">
        <is>
          <t>FY2031</t>
        </is>
      </c>
      <c r="I2" s="22" t="inlineStr">
        <is>
          <t>FY2032</t>
        </is>
      </c>
      <c r="J2" s="22" t="inlineStr">
        <is>
          <t>FY2033</t>
        </is>
      </c>
      <c r="K2" s="22" t="inlineStr">
        <is>
          <t>FY2034</t>
        </is>
      </c>
      <c r="L2" s="22" t="inlineStr">
        <is>
          <t>FY2035</t>
        </is>
      </c>
      <c r="M2" s="22" t="inlineStr">
        <is>
          <t>10-yr Total</t>
        </is>
      </c>
    </row>
    <row r="3">
      <c r="C3" s="2" t="inlineStr">
        <is>
          <t>DP2 (actual)</t>
        </is>
      </c>
      <c r="D3" s="2" t="inlineStr">
        <is>
          <t>DR1</t>
        </is>
      </c>
      <c r="E3" s="2" t="inlineStr">
        <is>
          <t>DR2</t>
        </is>
      </c>
      <c r="F3" s="2" t="inlineStr">
        <is>
          <t>DR3</t>
        </is>
      </c>
      <c r="G3" s="2" t="inlineStr">
        <is>
          <t>DR4</t>
        </is>
      </c>
      <c r="H3" s="2" t="inlineStr">
        <is>
          <t>DR5</t>
        </is>
      </c>
      <c r="I3" s="2" t="inlineStr">
        <is>
          <t>DR6</t>
        </is>
      </c>
      <c r="J3" s="2" t="inlineStr">
        <is>
          <t>DR7</t>
        </is>
      </c>
      <c r="K3" s="2" t="inlineStr">
        <is>
          <t>DR8</t>
        </is>
      </c>
      <c r="L3" s="2" t="inlineStr">
        <is>
          <t>DR9</t>
        </is>
      </c>
    </row>
    <row r="5">
      <c r="A5" s="3" t="inlineStr">
        <is>
          <t>DEMAND — linked from All at USDF and Qserv, never re-derived here</t>
        </is>
      </c>
      <c r="B5" s="4" t="n"/>
      <c r="C5" s="4" t="n"/>
      <c r="D5" s="4" t="n"/>
      <c r="E5" s="4" t="n"/>
      <c r="F5" s="4" t="n"/>
      <c r="G5" s="4" t="n"/>
      <c r="H5" s="4" t="n"/>
      <c r="I5" s="4" t="n"/>
      <c r="J5" s="4" t="n"/>
      <c r="K5" s="4" t="n"/>
      <c r="L5" s="4" t="n"/>
      <c r="M5" s="4" t="n"/>
    </row>
    <row r="6">
      <c r="A6" s="23" t="inlineStr">
        <is>
          <t>Survey years of input processed</t>
        </is>
      </c>
      <c r="B6" s="23" t="inlineStr">
        <is>
          <t>years</t>
        </is>
      </c>
      <c r="C6" s="30">
        <f>'All at USDF'!C7</f>
        <v/>
      </c>
      <c r="D6" s="30">
        <f>'All at USDF'!D7</f>
        <v/>
      </c>
      <c r="E6" s="30">
        <f>'All at USDF'!E7</f>
        <v/>
      </c>
      <c r="F6" s="30">
        <f>'All at USDF'!F7</f>
        <v/>
      </c>
      <c r="G6" s="30">
        <f>'All at USDF'!G7</f>
        <v/>
      </c>
      <c r="H6" s="30">
        <f>'All at USDF'!H7</f>
        <v/>
      </c>
      <c r="I6" s="30">
        <f>'All at USDF'!I7</f>
        <v/>
      </c>
      <c r="J6" s="30">
        <f>'All at USDF'!J7</f>
        <v/>
      </c>
      <c r="K6" s="30">
        <f>'All at USDF'!K7</f>
        <v/>
      </c>
      <c r="L6" s="30">
        <f>'All at USDF'!L7</f>
        <v/>
      </c>
    </row>
    <row r="7">
      <c r="A7" s="23" t="inlineStr">
        <is>
          <t>DRP core-hours</t>
        </is>
      </c>
      <c r="B7" s="23" t="inlineStr">
        <is>
          <t>core-hrs</t>
        </is>
      </c>
      <c r="C7" s="32">
        <f>'All at USDF'!C9</f>
        <v/>
      </c>
      <c r="D7" s="32">
        <f>'All at USDF'!D9</f>
        <v/>
      </c>
      <c r="E7" s="32">
        <f>'All at USDF'!E9</f>
        <v/>
      </c>
      <c r="F7" s="32">
        <f>'All at USDF'!F9</f>
        <v/>
      </c>
      <c r="G7" s="32">
        <f>'All at USDF'!G9</f>
        <v/>
      </c>
      <c r="H7" s="32">
        <f>'All at USDF'!H9</f>
        <v/>
      </c>
      <c r="I7" s="32">
        <f>'All at USDF'!I9</f>
        <v/>
      </c>
      <c r="J7" s="32">
        <f>'All at USDF'!J9</f>
        <v/>
      </c>
      <c r="K7" s="32">
        <f>'All at USDF'!K9</f>
        <v/>
      </c>
      <c r="L7" s="32">
        <f>'All at USDF'!L9</f>
        <v/>
      </c>
    </row>
    <row r="8">
      <c r="A8" s="23" t="inlineStr">
        <is>
          <t>Peak concurrent cores (Milano-equivalent)</t>
        </is>
      </c>
      <c r="B8" s="23" t="inlineStr">
        <is>
          <t>cores</t>
        </is>
      </c>
      <c r="C8" s="32">
        <f>'All at USDF'!C11</f>
        <v/>
      </c>
      <c r="D8" s="32">
        <f>'All at USDF'!D11</f>
        <v/>
      </c>
      <c r="E8" s="32">
        <f>'All at USDF'!E11</f>
        <v/>
      </c>
      <c r="F8" s="32">
        <f>'All at USDF'!F11</f>
        <v/>
      </c>
      <c r="G8" s="32">
        <f>'All at USDF'!G11</f>
        <v/>
      </c>
      <c r="H8" s="32">
        <f>'All at USDF'!H11</f>
        <v/>
      </c>
      <c r="I8" s="32">
        <f>'All at USDF'!I11</f>
        <v/>
      </c>
      <c r="J8" s="32">
        <f>'All at USDF'!J11</f>
        <v/>
      </c>
      <c r="K8" s="32">
        <f>'All at USDF'!K11</f>
        <v/>
      </c>
      <c r="L8" s="32">
        <f>'All at USDF'!L11</f>
        <v/>
      </c>
    </row>
    <row r="10">
      <c r="A10" s="3" t="inlineStr">
        <is>
          <t>BATCH COMPUTE PURCHASES</t>
        </is>
      </c>
      <c r="B10" s="4" t="n"/>
      <c r="C10" s="4" t="n"/>
      <c r="D10" s="4" t="n"/>
      <c r="E10" s="4" t="n"/>
      <c r="F10" s="4" t="n"/>
      <c r="G10" s="4" t="n"/>
      <c r="H10" s="4" t="n"/>
      <c r="I10" s="4" t="n"/>
      <c r="J10" s="4" t="n"/>
      <c r="K10" s="4" t="n"/>
      <c r="L10" s="4" t="n"/>
      <c r="M10" s="4" t="n"/>
    </row>
    <row r="11">
      <c r="A11" s="23" t="inlineStr">
        <is>
          <t>Cumulative Torino needed beyond current fleet</t>
        </is>
      </c>
      <c r="B11" s="23" t="inlineStr">
        <is>
          <t>nodes</t>
        </is>
      </c>
      <c r="C11" s="28">
        <f>MAX(0,ROUNDUP((C8-'Key Numbers'!$B$63)/('Key Numbers'!$B$14*'Key Numbers'!$B$62),0))</f>
        <v/>
      </c>
      <c r="D11" s="28">
        <f>MAX(0,ROUNDUP((D8-'Key Numbers'!$B$63)/('Key Numbers'!$B$14*'Key Numbers'!$B$62),0))</f>
        <v/>
      </c>
      <c r="E11" s="28">
        <f>MAX(0,ROUNDUP((E8-'Key Numbers'!$B$63)/('Key Numbers'!$B$14*'Key Numbers'!$B$62),0))</f>
        <v/>
      </c>
      <c r="F11" s="28">
        <f>MAX(0,ROUNDUP((F8-'Key Numbers'!$B$63)/('Key Numbers'!$B$14*'Key Numbers'!$B$62),0))</f>
        <v/>
      </c>
      <c r="G11" s="28">
        <f>MAX(0,ROUNDUP((G8-'Key Numbers'!$B$63)/('Key Numbers'!$B$14*'Key Numbers'!$B$62),0))</f>
        <v/>
      </c>
      <c r="H11" s="28">
        <f>MAX(0,ROUNDUP((H8-'Key Numbers'!$B$63)/('Key Numbers'!$B$14*'Key Numbers'!$B$62),0))</f>
        <v/>
      </c>
      <c r="I11" s="28">
        <f>MAX(0,ROUNDUP((I8-'Key Numbers'!$B$63)/('Key Numbers'!$B$14*'Key Numbers'!$B$62),0))</f>
        <v/>
      </c>
      <c r="J11" s="28">
        <f>MAX(0,ROUNDUP((J8-'Key Numbers'!$B$63)/('Key Numbers'!$B$14*'Key Numbers'!$B$62),0))</f>
        <v/>
      </c>
      <c r="K11" s="28">
        <f>MAX(0,ROUNDUP((K8-'Key Numbers'!$B$63)/('Key Numbers'!$B$14*'Key Numbers'!$B$62),0))</f>
        <v/>
      </c>
      <c r="L11" s="28">
        <f>MAX(0,ROUNDUP((L8-'Key Numbers'!$B$63)/('Key Numbers'!$B$14*'Key Numbers'!$B$62),0))</f>
        <v/>
      </c>
    </row>
    <row r="12">
      <c r="A12" s="23" t="inlineStr">
        <is>
          <t>Growth purchases this FY</t>
        </is>
      </c>
      <c r="B12" s="23" t="inlineStr">
        <is>
          <t>nodes</t>
        </is>
      </c>
      <c r="C12" s="28">
        <f>'Cost Inputs'!$B$25</f>
        <v/>
      </c>
      <c r="D12" s="28">
        <f>D11-C11</f>
        <v/>
      </c>
      <c r="E12" s="28">
        <f>E11-D11</f>
        <v/>
      </c>
      <c r="F12" s="28">
        <f>F11-E11</f>
        <v/>
      </c>
      <c r="G12" s="28">
        <f>G11-F11</f>
        <v/>
      </c>
      <c r="H12" s="28">
        <f>H11-G11</f>
        <v/>
      </c>
      <c r="I12" s="28">
        <f>I11-H11</f>
        <v/>
      </c>
      <c r="J12" s="28">
        <f>J11-I11</f>
        <v/>
      </c>
      <c r="K12" s="28">
        <f>K11-J11</f>
        <v/>
      </c>
      <c r="L12" s="28">
        <f>L11-K11</f>
        <v/>
      </c>
      <c r="M12" s="51">
        <f>SUM(C12:L12)</f>
        <v/>
      </c>
    </row>
    <row r="13">
      <c r="A13" s="23" t="inlineStr">
        <is>
          <t>Cohort refresh due this FY</t>
        </is>
      </c>
      <c r="B13" s="23" t="inlineStr">
        <is>
          <t>nodes</t>
        </is>
      </c>
      <c r="C13" s="28">
        <f>IF(AND(COLUMN()+2026-3-'Cost Inputs'!$B$14&gt;=2021,COLUMN()+2026-3-'Cost Inputs'!$B$14&lt;=2025),INDEX('Cost Inputs'!$B$20:$F$20,1,COLUMN()+2026-3-'Cost Inputs'!$B$14-2020),0)+IF(COLUMN()-2&gt;'Cost Inputs'!$B$14,INDEX($C$14:$L$14,1,COLUMN()-2-'Cost Inputs'!$B$14),0)</f>
        <v/>
      </c>
      <c r="D13" s="28">
        <f>IF(AND(COLUMN()+2026-3-'Cost Inputs'!$B$14&gt;=2021,COLUMN()+2026-3-'Cost Inputs'!$B$14&lt;=2025),INDEX('Cost Inputs'!$B$20:$F$20,1,COLUMN()+2026-3-'Cost Inputs'!$B$14-2020),0)+IF(COLUMN()-2&gt;'Cost Inputs'!$B$14,INDEX($C$14:$L$14,1,COLUMN()-2-'Cost Inputs'!$B$14),0)</f>
        <v/>
      </c>
      <c r="E13" s="28">
        <f>IF(AND(COLUMN()+2026-3-'Cost Inputs'!$B$14&gt;=2021,COLUMN()+2026-3-'Cost Inputs'!$B$14&lt;=2025),INDEX('Cost Inputs'!$B$20:$F$20,1,COLUMN()+2026-3-'Cost Inputs'!$B$14-2020),0)+IF(COLUMN()-2&gt;'Cost Inputs'!$B$14,INDEX($C$14:$L$14,1,COLUMN()-2-'Cost Inputs'!$B$14),0)</f>
        <v/>
      </c>
      <c r="F13" s="28">
        <f>IF(AND(COLUMN()+2026-3-'Cost Inputs'!$B$14&gt;=2021,COLUMN()+2026-3-'Cost Inputs'!$B$14&lt;=2025),INDEX('Cost Inputs'!$B$20:$F$20,1,COLUMN()+2026-3-'Cost Inputs'!$B$14-2020),0)+IF(COLUMN()-2&gt;'Cost Inputs'!$B$14,INDEX($C$14:$L$14,1,COLUMN()-2-'Cost Inputs'!$B$14),0)</f>
        <v/>
      </c>
      <c r="G13" s="28">
        <f>IF(AND(COLUMN()+2026-3-'Cost Inputs'!$B$14&gt;=2021,COLUMN()+2026-3-'Cost Inputs'!$B$14&lt;=2025),INDEX('Cost Inputs'!$B$20:$F$20,1,COLUMN()+2026-3-'Cost Inputs'!$B$14-2020),0)+IF(COLUMN()-2&gt;'Cost Inputs'!$B$14,INDEX($C$14:$L$14,1,COLUMN()-2-'Cost Inputs'!$B$14),0)</f>
        <v/>
      </c>
      <c r="H13" s="28">
        <f>IF(AND(COLUMN()+2026-3-'Cost Inputs'!$B$14&gt;=2021,COLUMN()+2026-3-'Cost Inputs'!$B$14&lt;=2025),INDEX('Cost Inputs'!$B$20:$F$20,1,COLUMN()+2026-3-'Cost Inputs'!$B$14-2020),0)+IF(COLUMN()-2&gt;'Cost Inputs'!$B$14,INDEX($C$14:$L$14,1,COLUMN()-2-'Cost Inputs'!$B$14),0)</f>
        <v/>
      </c>
      <c r="I13" s="28">
        <f>IF(AND(COLUMN()+2026-3-'Cost Inputs'!$B$14&gt;=2021,COLUMN()+2026-3-'Cost Inputs'!$B$14&lt;=2025),INDEX('Cost Inputs'!$B$20:$F$20,1,COLUMN()+2026-3-'Cost Inputs'!$B$14-2020),0)+IF(COLUMN()-2&gt;'Cost Inputs'!$B$14,INDEX($C$14:$L$14,1,COLUMN()-2-'Cost Inputs'!$B$14),0)</f>
        <v/>
      </c>
      <c r="J13" s="28">
        <f>IF(AND(COLUMN()+2026-3-'Cost Inputs'!$B$14&gt;=2021,COLUMN()+2026-3-'Cost Inputs'!$B$14&lt;=2025),INDEX('Cost Inputs'!$B$20:$F$20,1,COLUMN()+2026-3-'Cost Inputs'!$B$14-2020),0)+IF(COLUMN()-2&gt;'Cost Inputs'!$B$14,INDEX($C$14:$L$14,1,COLUMN()-2-'Cost Inputs'!$B$14),0)</f>
        <v/>
      </c>
      <c r="K13" s="28">
        <f>IF(AND(COLUMN()+2026-3-'Cost Inputs'!$B$14&gt;=2021,COLUMN()+2026-3-'Cost Inputs'!$B$14&lt;=2025),INDEX('Cost Inputs'!$B$20:$F$20,1,COLUMN()+2026-3-'Cost Inputs'!$B$14-2020),0)+IF(COLUMN()-2&gt;'Cost Inputs'!$B$14,INDEX($C$14:$L$14,1,COLUMN()-2-'Cost Inputs'!$B$14),0)</f>
        <v/>
      </c>
      <c r="L13" s="28">
        <f>IF(AND(COLUMN()+2026-3-'Cost Inputs'!$B$14&gt;=2021,COLUMN()+2026-3-'Cost Inputs'!$B$14&lt;=2025),INDEX('Cost Inputs'!$B$20:$F$20,1,COLUMN()+2026-3-'Cost Inputs'!$B$14-2020),0)+IF(COLUMN()-2&gt;'Cost Inputs'!$B$14,INDEX($C$14:$L$14,1,COLUMN()-2-'Cost Inputs'!$B$14),0)</f>
        <v/>
      </c>
      <c r="M13" s="51">
        <f>SUM(C13:L13)</f>
        <v/>
      </c>
    </row>
    <row r="14">
      <c r="A14" s="23" t="inlineStr">
        <is>
          <t>Batch nodes purchased</t>
        </is>
      </c>
      <c r="B14" s="23" t="inlineStr">
        <is>
          <t>nodes</t>
        </is>
      </c>
      <c r="C14" s="28">
        <f>C12+C13</f>
        <v/>
      </c>
      <c r="D14" s="28">
        <f>D12+D13</f>
        <v/>
      </c>
      <c r="E14" s="28">
        <f>E12+E13</f>
        <v/>
      </c>
      <c r="F14" s="28">
        <f>F12+F13</f>
        <v/>
      </c>
      <c r="G14" s="28">
        <f>G12+G13</f>
        <v/>
      </c>
      <c r="H14" s="28">
        <f>H12+H13</f>
        <v/>
      </c>
      <c r="I14" s="28">
        <f>I12+I13</f>
        <v/>
      </c>
      <c r="J14" s="28">
        <f>J12+J13</f>
        <v/>
      </c>
      <c r="K14" s="28">
        <f>K12+K13</f>
        <v/>
      </c>
      <c r="L14" s="28">
        <f>L12+L13</f>
        <v/>
      </c>
      <c r="M14" s="51">
        <f>SUM(C14:L14)</f>
        <v/>
      </c>
    </row>
    <row r="15">
      <c r="A15" s="23" t="inlineStr">
        <is>
          <t>Batch compute cost</t>
        </is>
      </c>
      <c r="B15" s="23" t="inlineStr">
        <is>
          <t>$</t>
        </is>
      </c>
      <c r="C15" s="52">
        <f>C14*'Cost Inputs'!$B$4*(1+'Cost Inputs'!$B$11)^(0)</f>
        <v/>
      </c>
      <c r="D15" s="52">
        <f>D14*'Cost Inputs'!$B$4*(1+'Cost Inputs'!$B$11)^(1)</f>
        <v/>
      </c>
      <c r="E15" s="52">
        <f>E14*'Cost Inputs'!$B$4*(1+'Cost Inputs'!$B$11)^(2)</f>
        <v/>
      </c>
      <c r="F15" s="52">
        <f>F14*'Cost Inputs'!$B$4*(1+'Cost Inputs'!$B$11)^(3)</f>
        <v/>
      </c>
      <c r="G15" s="52">
        <f>G14*'Cost Inputs'!$B$4*(1+'Cost Inputs'!$B$11)^(4)</f>
        <v/>
      </c>
      <c r="H15" s="52">
        <f>H14*'Cost Inputs'!$B$4*(1+'Cost Inputs'!$B$11)^(5)</f>
        <v/>
      </c>
      <c r="I15" s="52">
        <f>I14*'Cost Inputs'!$B$4*(1+'Cost Inputs'!$B$11)^(6)</f>
        <v/>
      </c>
      <c r="J15" s="52">
        <f>J14*'Cost Inputs'!$B$4*(1+'Cost Inputs'!$B$11)^(7)</f>
        <v/>
      </c>
      <c r="K15" s="52">
        <f>K14*'Cost Inputs'!$B$4*(1+'Cost Inputs'!$B$11)^(8)</f>
        <v/>
      </c>
      <c r="L15" s="52">
        <f>L14*'Cost Inputs'!$B$4*(1+'Cost Inputs'!$B$11)^(9)</f>
        <v/>
      </c>
      <c r="M15" s="53">
        <f>SUM(C15:L15)</f>
        <v/>
      </c>
    </row>
    <row r="17">
      <c r="A17" s="3" t="inlineStr">
        <is>
          <t>DISK AND TAPE PURCHASES</t>
        </is>
      </c>
      <c r="B17" s="4" t="n"/>
      <c r="C17" s="4" t="n"/>
      <c r="D17" s="4" t="n"/>
      <c r="E17" s="4" t="n"/>
      <c r="F17" s="4" t="n"/>
      <c r="G17" s="4" t="n"/>
      <c r="H17" s="4" t="n"/>
      <c r="I17" s="4" t="n"/>
      <c r="J17" s="4" t="n"/>
      <c r="K17" s="4" t="n"/>
      <c r="L17" s="4" t="n"/>
      <c r="M17" s="4" t="n"/>
    </row>
    <row r="18">
      <c r="A18" s="23" t="inlineStr">
        <is>
          <t>On-floor disk need (from All at USDF)</t>
        </is>
      </c>
      <c r="B18" s="23" t="inlineStr">
        <is>
          <t>TB</t>
        </is>
      </c>
      <c r="C18" s="32">
        <f>'All at USDF'!C29</f>
        <v/>
      </c>
      <c r="D18" s="32">
        <f>'All at USDF'!D29</f>
        <v/>
      </c>
      <c r="E18" s="32">
        <f>'All at USDF'!E29</f>
        <v/>
      </c>
      <c r="F18" s="32">
        <f>'All at USDF'!F29</f>
        <v/>
      </c>
      <c r="G18" s="32">
        <f>'All at USDF'!G29</f>
        <v/>
      </c>
      <c r="H18" s="32">
        <f>'All at USDF'!H29</f>
        <v/>
      </c>
      <c r="I18" s="32">
        <f>'All at USDF'!I29</f>
        <v/>
      </c>
      <c r="J18" s="32">
        <f>'All at USDF'!J29</f>
        <v/>
      </c>
      <c r="K18" s="32">
        <f>'All at USDF'!K29</f>
        <v/>
      </c>
      <c r="L18" s="32">
        <f>'All at USDF'!L29</f>
        <v/>
      </c>
    </row>
    <row r="19">
      <c r="A19" s="23" t="inlineStr">
        <is>
          <t>Disk installed + purchased to date</t>
        </is>
      </c>
      <c r="B19" s="23" t="inlineStr">
        <is>
          <t>TB</t>
        </is>
      </c>
      <c r="C19" s="28">
        <f>'Key Numbers'!$B$64*1000+C20</f>
        <v/>
      </c>
      <c r="D19" s="28">
        <f>C19+D20</f>
        <v/>
      </c>
      <c r="E19" s="28">
        <f>D19+E20</f>
        <v/>
      </c>
      <c r="F19" s="28">
        <f>E19+F20</f>
        <v/>
      </c>
      <c r="G19" s="28">
        <f>F19+G20</f>
        <v/>
      </c>
      <c r="H19" s="28">
        <f>G19+H20</f>
        <v/>
      </c>
      <c r="I19" s="28">
        <f>H19+I20</f>
        <v/>
      </c>
      <c r="J19" s="28">
        <f>I19+J20</f>
        <v/>
      </c>
      <c r="K19" s="28">
        <f>J19+K20</f>
        <v/>
      </c>
      <c r="L19" s="28">
        <f>K19+L20</f>
        <v/>
      </c>
    </row>
    <row r="20">
      <c r="A20" s="23" t="inlineStr">
        <is>
          <t>Disk purchased this FY (new capacity)</t>
        </is>
      </c>
      <c r="B20" s="23" t="inlineStr">
        <is>
          <t>TB</t>
        </is>
      </c>
      <c r="C20" s="28">
        <f>'Cost Inputs'!$B$28</f>
        <v/>
      </c>
      <c r="D20" s="28">
        <f>MAX(0,D18-C19)</f>
        <v/>
      </c>
      <c r="E20" s="28">
        <f>MAX(0,E18-D19)</f>
        <v/>
      </c>
      <c r="F20" s="28">
        <f>MAX(0,F18-E19)</f>
        <v/>
      </c>
      <c r="G20" s="28">
        <f>MAX(0,G18-F19)</f>
        <v/>
      </c>
      <c r="H20" s="28">
        <f>MAX(0,H18-G19)</f>
        <v/>
      </c>
      <c r="I20" s="28">
        <f>MAX(0,I18-H19)</f>
        <v/>
      </c>
      <c r="J20" s="28">
        <f>MAX(0,J18-I19)</f>
        <v/>
      </c>
      <c r="K20" s="28">
        <f>MAX(0,K18-J19)</f>
        <v/>
      </c>
      <c r="L20" s="28">
        <f>MAX(0,L18-K19)</f>
        <v/>
      </c>
      <c r="M20" s="51">
        <f>SUM(C20:L20)</f>
        <v/>
      </c>
    </row>
    <row r="21">
      <c r="A21" s="23" t="inlineStr">
        <is>
          <t>Disk re-buy (end of storage lifetime)</t>
        </is>
      </c>
      <c r="B21" s="23" t="inlineStr">
        <is>
          <t>TB</t>
        </is>
      </c>
      <c r="C21" s="28" t="n">
        <v>0</v>
      </c>
      <c r="D21" s="28">
        <f>IF(COLUMN()-2&gt;'Cost Inputs'!$B$15,INDEX($C$20:$L$20,1,COLUMN()-2-'Cost Inputs'!$B$15),0)</f>
        <v/>
      </c>
      <c r="E21" s="28">
        <f>IF(COLUMN()-2&gt;'Cost Inputs'!$B$15,INDEX($C$20:$L$20,1,COLUMN()-2-'Cost Inputs'!$B$15),0)</f>
        <v/>
      </c>
      <c r="F21" s="28">
        <f>IF(COLUMN()-2&gt;'Cost Inputs'!$B$15,INDEX($C$20:$L$20,1,COLUMN()-2-'Cost Inputs'!$B$15),0)</f>
        <v/>
      </c>
      <c r="G21" s="28">
        <f>IF(COLUMN()-2&gt;'Cost Inputs'!$B$15,INDEX($C$20:$L$20,1,COLUMN()-2-'Cost Inputs'!$B$15),0)</f>
        <v/>
      </c>
      <c r="H21" s="28">
        <f>IF(COLUMN()-2&gt;'Cost Inputs'!$B$15,INDEX($C$20:$L$20,1,COLUMN()-2-'Cost Inputs'!$B$15),0)</f>
        <v/>
      </c>
      <c r="I21" s="28">
        <f>IF(COLUMN()-2&gt;'Cost Inputs'!$B$15,INDEX($C$20:$L$20,1,COLUMN()-2-'Cost Inputs'!$B$15),0)</f>
        <v/>
      </c>
      <c r="J21" s="28">
        <f>IF(COLUMN()-2&gt;'Cost Inputs'!$B$15,INDEX($C$20:$L$20,1,COLUMN()-2-'Cost Inputs'!$B$15),0)</f>
        <v/>
      </c>
      <c r="K21" s="28">
        <f>IF(COLUMN()-2&gt;'Cost Inputs'!$B$15,INDEX($C$20:$L$20,1,COLUMN()-2-'Cost Inputs'!$B$15),0)</f>
        <v/>
      </c>
      <c r="L21" s="28">
        <f>IF(COLUMN()-2&gt;'Cost Inputs'!$B$15,INDEX($C$20:$L$20,1,COLUMN()-2-'Cost Inputs'!$B$15),0)</f>
        <v/>
      </c>
      <c r="M21" s="51">
        <f>SUM(C21:L21)</f>
        <v/>
      </c>
    </row>
    <row r="22">
      <c r="A22" s="23" t="inlineStr">
        <is>
          <t>Disk cost</t>
        </is>
      </c>
      <c r="B22" s="23" t="inlineStr">
        <is>
          <t>$</t>
        </is>
      </c>
      <c r="C22" s="52">
        <f>'Cost Inputs'!$B$29</f>
        <v/>
      </c>
      <c r="D22" s="52">
        <f>(D20+D21)*'Cost Inputs'!$B$6*(1+'Cost Inputs'!$B$11)^(1)</f>
        <v/>
      </c>
      <c r="E22" s="52">
        <f>(E20+E21)*'Cost Inputs'!$B$6*(1+'Cost Inputs'!$B$11)^(2)</f>
        <v/>
      </c>
      <c r="F22" s="52">
        <f>(F20+F21)*'Cost Inputs'!$B$6*(1+'Cost Inputs'!$B$11)^(3)</f>
        <v/>
      </c>
      <c r="G22" s="52">
        <f>(G20+G21)*'Cost Inputs'!$B$6*(1+'Cost Inputs'!$B$11)^(4)</f>
        <v/>
      </c>
      <c r="H22" s="52">
        <f>(H20+H21)*'Cost Inputs'!$B$6*(1+'Cost Inputs'!$B$11)^(5)</f>
        <v/>
      </c>
      <c r="I22" s="52">
        <f>(I20+I21)*'Cost Inputs'!$B$6*(1+'Cost Inputs'!$B$11)^(6)</f>
        <v/>
      </c>
      <c r="J22" s="52">
        <f>(J20+J21)*'Cost Inputs'!$B$6*(1+'Cost Inputs'!$B$11)^(7)</f>
        <v/>
      </c>
      <c r="K22" s="52">
        <f>(K20+K21)*'Cost Inputs'!$B$6*(1+'Cost Inputs'!$B$11)^(8)</f>
        <v/>
      </c>
      <c r="L22" s="52">
        <f>(L20+L21)*'Cost Inputs'!$B$6*(1+'Cost Inputs'!$B$11)^(9)</f>
        <v/>
      </c>
      <c r="M22" s="53">
        <f>SUM(C22:L22)</f>
        <v/>
      </c>
    </row>
    <row r="23">
      <c r="A23" s="23" t="inlineStr">
        <is>
          <t>Tape / archive added (from All at USDF)</t>
        </is>
      </c>
      <c r="B23" s="23" t="inlineStr">
        <is>
          <t>TB</t>
        </is>
      </c>
      <c r="C23" s="32">
        <f>'Cost Inputs'!$B$30</f>
        <v/>
      </c>
      <c r="D23" s="32">
        <f>'All at USDF'!D40</f>
        <v/>
      </c>
      <c r="E23" s="32">
        <f>'All at USDF'!E40</f>
        <v/>
      </c>
      <c r="F23" s="32">
        <f>'All at USDF'!F40</f>
        <v/>
      </c>
      <c r="G23" s="32">
        <f>'All at USDF'!G40</f>
        <v/>
      </c>
      <c r="H23" s="32">
        <f>'All at USDF'!H40</f>
        <v/>
      </c>
      <c r="I23" s="32">
        <f>'All at USDF'!I40</f>
        <v/>
      </c>
      <c r="J23" s="32">
        <f>'All at USDF'!J40</f>
        <v/>
      </c>
      <c r="K23" s="32">
        <f>'All at USDF'!K40</f>
        <v/>
      </c>
      <c r="L23" s="32">
        <f>'All at USDF'!L40</f>
        <v/>
      </c>
      <c r="M23" s="51">
        <f>SUM(C23:L23)</f>
        <v/>
      </c>
    </row>
    <row r="24">
      <c r="A24" s="23" t="inlineStr">
        <is>
          <t>Tape cost</t>
        </is>
      </c>
      <c r="B24" s="23" t="inlineStr">
        <is>
          <t>$</t>
        </is>
      </c>
      <c r="C24" s="52">
        <f>'Cost Inputs'!$B$31</f>
        <v/>
      </c>
      <c r="D24" s="52">
        <f>D23*'Cost Inputs'!$B$7*(1+'Cost Inputs'!$B$11)^(1)</f>
        <v/>
      </c>
      <c r="E24" s="52">
        <f>E23*'Cost Inputs'!$B$7*(1+'Cost Inputs'!$B$11)^(2)</f>
        <v/>
      </c>
      <c r="F24" s="52">
        <f>F23*'Cost Inputs'!$B$7*(1+'Cost Inputs'!$B$11)^(3)</f>
        <v/>
      </c>
      <c r="G24" s="52">
        <f>G23*'Cost Inputs'!$B$7*(1+'Cost Inputs'!$B$11)^(4)</f>
        <v/>
      </c>
      <c r="H24" s="52">
        <f>H23*'Cost Inputs'!$B$7*(1+'Cost Inputs'!$B$11)^(5)</f>
        <v/>
      </c>
      <c r="I24" s="52">
        <f>I23*'Cost Inputs'!$B$7*(1+'Cost Inputs'!$B$11)^(6)</f>
        <v/>
      </c>
      <c r="J24" s="52">
        <f>J23*'Cost Inputs'!$B$7*(1+'Cost Inputs'!$B$11)^(7)</f>
        <v/>
      </c>
      <c r="K24" s="52">
        <f>K23*'Cost Inputs'!$B$7*(1+'Cost Inputs'!$B$11)^(8)</f>
        <v/>
      </c>
      <c r="L24" s="52">
        <f>L23*'Cost Inputs'!$B$7*(1+'Cost Inputs'!$B$11)^(9)</f>
        <v/>
      </c>
      <c r="M24" s="53">
        <f>SUM(C24:L24)</f>
        <v/>
      </c>
    </row>
    <row r="26">
      <c r="A26" s="3" t="inlineStr">
        <is>
          <t>K8S AND QSERV PURCHASES</t>
        </is>
      </c>
      <c r="B26" s="4" t="n"/>
      <c r="C26" s="4" t="n"/>
      <c r="D26" s="4" t="n"/>
      <c r="E26" s="4" t="n"/>
      <c r="F26" s="4" t="n"/>
      <c r="G26" s="4" t="n"/>
      <c r="H26" s="4" t="n"/>
      <c r="I26" s="4" t="n"/>
      <c r="J26" s="4" t="n"/>
      <c r="K26" s="4" t="n"/>
      <c r="L26" s="4" t="n"/>
      <c r="M26" s="4" t="n"/>
    </row>
    <row r="27">
      <c r="A27" s="23" t="inlineStr">
        <is>
          <t>K8s nodes purchased (growth + cohort refresh)</t>
        </is>
      </c>
      <c r="B27" s="23" t="inlineStr">
        <is>
          <t>nodes</t>
        </is>
      </c>
      <c r="C27" s="28">
        <f>'Cost Inputs'!$B$26</f>
        <v/>
      </c>
      <c r="D27" s="28">
        <f>ROUND('Key Numbers'!$B$65*'Cost Inputs'!$B$16,0)+IF(AND(COLUMN()+2026-3-'Cost Inputs'!$B$14&gt;=2021,COLUMN()+2026-3-'Cost Inputs'!$B$14&lt;=2025),INDEX('Cost Inputs'!$B$22:$F$22,1,COLUMN()+2026-3-'Cost Inputs'!$B$14-2020),0)+IF(COLUMN()-2&gt;'Cost Inputs'!$B$14,INDEX($C$27:$L$27,1,COLUMN()-2-'Cost Inputs'!$B$14),0)</f>
        <v/>
      </c>
      <c r="E27" s="28">
        <f>ROUND('Key Numbers'!$B$65*'Cost Inputs'!$B$16,0)+IF(AND(COLUMN()+2026-3-'Cost Inputs'!$B$14&gt;=2021,COLUMN()+2026-3-'Cost Inputs'!$B$14&lt;=2025),INDEX('Cost Inputs'!$B$22:$F$22,1,COLUMN()+2026-3-'Cost Inputs'!$B$14-2020),0)+IF(COLUMN()-2&gt;'Cost Inputs'!$B$14,INDEX($C$27:$L$27,1,COLUMN()-2-'Cost Inputs'!$B$14),0)</f>
        <v/>
      </c>
      <c r="F27" s="28">
        <f>ROUND('Key Numbers'!$B$65*'Cost Inputs'!$B$16,0)+IF(AND(COLUMN()+2026-3-'Cost Inputs'!$B$14&gt;=2021,COLUMN()+2026-3-'Cost Inputs'!$B$14&lt;=2025),INDEX('Cost Inputs'!$B$22:$F$22,1,COLUMN()+2026-3-'Cost Inputs'!$B$14-2020),0)+IF(COLUMN()-2&gt;'Cost Inputs'!$B$14,INDEX($C$27:$L$27,1,COLUMN()-2-'Cost Inputs'!$B$14),0)</f>
        <v/>
      </c>
      <c r="G27" s="28">
        <f>ROUND('Key Numbers'!$B$65*'Cost Inputs'!$B$16,0)+IF(AND(COLUMN()+2026-3-'Cost Inputs'!$B$14&gt;=2021,COLUMN()+2026-3-'Cost Inputs'!$B$14&lt;=2025),INDEX('Cost Inputs'!$B$22:$F$22,1,COLUMN()+2026-3-'Cost Inputs'!$B$14-2020),0)+IF(COLUMN()-2&gt;'Cost Inputs'!$B$14,INDEX($C$27:$L$27,1,COLUMN()-2-'Cost Inputs'!$B$14),0)</f>
        <v/>
      </c>
      <c r="H27" s="28">
        <f>ROUND('Key Numbers'!$B$65*'Cost Inputs'!$B$16,0)+IF(AND(COLUMN()+2026-3-'Cost Inputs'!$B$14&gt;=2021,COLUMN()+2026-3-'Cost Inputs'!$B$14&lt;=2025),INDEX('Cost Inputs'!$B$22:$F$22,1,COLUMN()+2026-3-'Cost Inputs'!$B$14-2020),0)+IF(COLUMN()-2&gt;'Cost Inputs'!$B$14,INDEX($C$27:$L$27,1,COLUMN()-2-'Cost Inputs'!$B$14),0)</f>
        <v/>
      </c>
      <c r="I27" s="28">
        <f>ROUND('Key Numbers'!$B$65*'Cost Inputs'!$B$16,0)+IF(AND(COLUMN()+2026-3-'Cost Inputs'!$B$14&gt;=2021,COLUMN()+2026-3-'Cost Inputs'!$B$14&lt;=2025),INDEX('Cost Inputs'!$B$22:$F$22,1,COLUMN()+2026-3-'Cost Inputs'!$B$14-2020),0)+IF(COLUMN()-2&gt;'Cost Inputs'!$B$14,INDEX($C$27:$L$27,1,COLUMN()-2-'Cost Inputs'!$B$14),0)</f>
        <v/>
      </c>
      <c r="J27" s="28">
        <f>ROUND('Key Numbers'!$B$65*'Cost Inputs'!$B$16,0)+IF(AND(COLUMN()+2026-3-'Cost Inputs'!$B$14&gt;=2021,COLUMN()+2026-3-'Cost Inputs'!$B$14&lt;=2025),INDEX('Cost Inputs'!$B$22:$F$22,1,COLUMN()+2026-3-'Cost Inputs'!$B$14-2020),0)+IF(COLUMN()-2&gt;'Cost Inputs'!$B$14,INDEX($C$27:$L$27,1,COLUMN()-2-'Cost Inputs'!$B$14),0)</f>
        <v/>
      </c>
      <c r="K27" s="28">
        <f>ROUND('Key Numbers'!$B$65*'Cost Inputs'!$B$16,0)+IF(AND(COLUMN()+2026-3-'Cost Inputs'!$B$14&gt;=2021,COLUMN()+2026-3-'Cost Inputs'!$B$14&lt;=2025),INDEX('Cost Inputs'!$B$22:$F$22,1,COLUMN()+2026-3-'Cost Inputs'!$B$14-2020),0)+IF(COLUMN()-2&gt;'Cost Inputs'!$B$14,INDEX($C$27:$L$27,1,COLUMN()-2-'Cost Inputs'!$B$14),0)</f>
        <v/>
      </c>
      <c r="L27" s="28">
        <f>ROUND('Key Numbers'!$B$65*'Cost Inputs'!$B$16,0)+IF(AND(COLUMN()+2026-3-'Cost Inputs'!$B$14&gt;=2021,COLUMN()+2026-3-'Cost Inputs'!$B$14&lt;=2025),INDEX('Cost Inputs'!$B$22:$F$22,1,COLUMN()+2026-3-'Cost Inputs'!$B$14-2020),0)+IF(COLUMN()-2&gt;'Cost Inputs'!$B$14,INDEX($C$27:$L$27,1,COLUMN()-2-'Cost Inputs'!$B$14),0)</f>
        <v/>
      </c>
      <c r="M27" s="51">
        <f>SUM(C27:L27)</f>
        <v/>
      </c>
    </row>
    <row r="28">
      <c r="A28" s="23" t="inlineStr">
        <is>
          <t>K8s cost</t>
        </is>
      </c>
      <c r="B28" s="23" t="inlineStr">
        <is>
          <t>$</t>
        </is>
      </c>
      <c r="C28" s="52">
        <f>'Cost Inputs'!$B$27</f>
        <v/>
      </c>
      <c r="D28" s="52">
        <f>D27*'Cost Inputs'!$B$5*(1+'Cost Inputs'!$B$11)^(1)</f>
        <v/>
      </c>
      <c r="E28" s="52">
        <f>E27*'Cost Inputs'!$B$5*(1+'Cost Inputs'!$B$11)^(2)</f>
        <v/>
      </c>
      <c r="F28" s="52">
        <f>F27*'Cost Inputs'!$B$5*(1+'Cost Inputs'!$B$11)^(3)</f>
        <v/>
      </c>
      <c r="G28" s="52">
        <f>G27*'Cost Inputs'!$B$5*(1+'Cost Inputs'!$B$11)^(4)</f>
        <v/>
      </c>
      <c r="H28" s="52">
        <f>H27*'Cost Inputs'!$B$5*(1+'Cost Inputs'!$B$11)^(5)</f>
        <v/>
      </c>
      <c r="I28" s="52">
        <f>I27*'Cost Inputs'!$B$5*(1+'Cost Inputs'!$B$11)^(6)</f>
        <v/>
      </c>
      <c r="J28" s="52">
        <f>J27*'Cost Inputs'!$B$5*(1+'Cost Inputs'!$B$11)^(7)</f>
        <v/>
      </c>
      <c r="K28" s="52">
        <f>K27*'Cost Inputs'!$B$5*(1+'Cost Inputs'!$B$11)^(8)</f>
        <v/>
      </c>
      <c r="L28" s="52">
        <f>L27*'Cost Inputs'!$B$5*(1+'Cost Inputs'!$B$11)^(9)</f>
        <v/>
      </c>
      <c r="M28" s="53">
        <f>SUM(C28:L28)</f>
        <v/>
      </c>
    </row>
    <row r="29">
      <c r="A29" s="23" t="inlineStr">
        <is>
          <t>Qserv nodes needed (from Qserv tab)</t>
        </is>
      </c>
      <c r="B29" s="23" t="inlineStr">
        <is>
          <t>nodes</t>
        </is>
      </c>
      <c r="C29" s="32">
        <f>'Qserv'!C39</f>
        <v/>
      </c>
      <c r="D29" s="32">
        <f>'Qserv'!D39</f>
        <v/>
      </c>
      <c r="E29" s="32">
        <f>'Qserv'!E39</f>
        <v/>
      </c>
      <c r="F29" s="32">
        <f>'Qserv'!F39</f>
        <v/>
      </c>
      <c r="G29" s="32">
        <f>'Qserv'!G39</f>
        <v/>
      </c>
      <c r="H29" s="32">
        <f>'Qserv'!H39</f>
        <v/>
      </c>
      <c r="I29" s="32">
        <f>'Qserv'!I39</f>
        <v/>
      </c>
      <c r="J29" s="32">
        <f>'Qserv'!J39</f>
        <v/>
      </c>
      <c r="K29" s="32">
        <f>'Qserv'!K39</f>
        <v/>
      </c>
      <c r="L29" s="32">
        <f>'Qserv'!L39</f>
        <v/>
      </c>
    </row>
    <row r="30">
      <c r="A30" s="23" t="inlineStr">
        <is>
          <t>Running maximum needed</t>
        </is>
      </c>
      <c r="B30" s="23" t="inlineStr">
        <is>
          <t>nodes</t>
        </is>
      </c>
      <c r="C30" s="28">
        <f>MAX('Key Numbers'!$B$76,C29)</f>
        <v/>
      </c>
      <c r="D30" s="28">
        <f>MAX(C30,D29)</f>
        <v/>
      </c>
      <c r="E30" s="28">
        <f>MAX(D30,E29)</f>
        <v/>
      </c>
      <c r="F30" s="28">
        <f>MAX(E30,F29)</f>
        <v/>
      </c>
      <c r="G30" s="28">
        <f>MAX(F30,G29)</f>
        <v/>
      </c>
      <c r="H30" s="28">
        <f>MAX(G30,H29)</f>
        <v/>
      </c>
      <c r="I30" s="28">
        <f>MAX(H30,I29)</f>
        <v/>
      </c>
      <c r="J30" s="28">
        <f>MAX(I30,J29)</f>
        <v/>
      </c>
      <c r="K30" s="28">
        <f>MAX(J30,K29)</f>
        <v/>
      </c>
      <c r="L30" s="28">
        <f>MAX(K30,L29)</f>
        <v/>
      </c>
    </row>
    <row r="31">
      <c r="A31" s="23" t="inlineStr">
        <is>
          <t>Qserv growth purchases</t>
        </is>
      </c>
      <c r="B31" s="23" t="inlineStr">
        <is>
          <t>nodes</t>
        </is>
      </c>
      <c r="C31" s="28">
        <f>MAX(0,C29-'Key Numbers'!$B$76)</f>
        <v/>
      </c>
      <c r="D31" s="28">
        <f>D30-C30</f>
        <v/>
      </c>
      <c r="E31" s="28">
        <f>E30-D30</f>
        <v/>
      </c>
      <c r="F31" s="28">
        <f>F30-E30</f>
        <v/>
      </c>
      <c r="G31" s="28">
        <f>G30-F30</f>
        <v/>
      </c>
      <c r="H31" s="28">
        <f>H30-G30</f>
        <v/>
      </c>
      <c r="I31" s="28">
        <f>I30-H30</f>
        <v/>
      </c>
      <c r="J31" s="28">
        <f>J30-I30</f>
        <v/>
      </c>
      <c r="K31" s="28">
        <f>K30-J30</f>
        <v/>
      </c>
      <c r="L31" s="28">
        <f>L30-K30</f>
        <v/>
      </c>
      <c r="M31" s="51">
        <f>SUM(C31:L31)</f>
        <v/>
      </c>
    </row>
    <row r="32">
      <c r="A32" s="23" t="inlineStr">
        <is>
          <t>Qserv cohort refresh due this FY</t>
        </is>
      </c>
      <c r="B32" s="23" t="inlineStr">
        <is>
          <t>nodes</t>
        </is>
      </c>
      <c r="C32" s="28">
        <f>IF(AND(COLUMN()+2026-3-'Cost Inputs'!$B$14&gt;=2021,COLUMN()+2026-3-'Cost Inputs'!$B$14&lt;=2025),INDEX('Cost Inputs'!$B$21:$F$21,1,COLUMN()+2026-3-'Cost Inputs'!$B$14-2020),0)+IF(COLUMN()-2&gt;'Cost Inputs'!$B$14,INDEX($C$33:$L$33,1,COLUMN()-2-'Cost Inputs'!$B$14),0)</f>
        <v/>
      </c>
      <c r="D32" s="28">
        <f>IF(AND(COLUMN()+2026-3-'Cost Inputs'!$B$14&gt;=2021,COLUMN()+2026-3-'Cost Inputs'!$B$14&lt;=2025),INDEX('Cost Inputs'!$B$21:$F$21,1,COLUMN()+2026-3-'Cost Inputs'!$B$14-2020),0)+IF(COLUMN()-2&gt;'Cost Inputs'!$B$14,INDEX($C$33:$L$33,1,COLUMN()-2-'Cost Inputs'!$B$14),0)</f>
        <v/>
      </c>
      <c r="E32" s="28">
        <f>IF(AND(COLUMN()+2026-3-'Cost Inputs'!$B$14&gt;=2021,COLUMN()+2026-3-'Cost Inputs'!$B$14&lt;=2025),INDEX('Cost Inputs'!$B$21:$F$21,1,COLUMN()+2026-3-'Cost Inputs'!$B$14-2020),0)+IF(COLUMN()-2&gt;'Cost Inputs'!$B$14,INDEX($C$33:$L$33,1,COLUMN()-2-'Cost Inputs'!$B$14),0)</f>
        <v/>
      </c>
      <c r="F32" s="28">
        <f>IF(AND(COLUMN()+2026-3-'Cost Inputs'!$B$14&gt;=2021,COLUMN()+2026-3-'Cost Inputs'!$B$14&lt;=2025),INDEX('Cost Inputs'!$B$21:$F$21,1,COLUMN()+2026-3-'Cost Inputs'!$B$14-2020),0)+IF(COLUMN()-2&gt;'Cost Inputs'!$B$14,INDEX($C$33:$L$33,1,COLUMN()-2-'Cost Inputs'!$B$14),0)</f>
        <v/>
      </c>
      <c r="G32" s="28">
        <f>IF(AND(COLUMN()+2026-3-'Cost Inputs'!$B$14&gt;=2021,COLUMN()+2026-3-'Cost Inputs'!$B$14&lt;=2025),INDEX('Cost Inputs'!$B$21:$F$21,1,COLUMN()+2026-3-'Cost Inputs'!$B$14-2020),0)+IF(COLUMN()-2&gt;'Cost Inputs'!$B$14,INDEX($C$33:$L$33,1,COLUMN()-2-'Cost Inputs'!$B$14),0)</f>
        <v/>
      </c>
      <c r="H32" s="28">
        <f>IF(AND(COLUMN()+2026-3-'Cost Inputs'!$B$14&gt;=2021,COLUMN()+2026-3-'Cost Inputs'!$B$14&lt;=2025),INDEX('Cost Inputs'!$B$21:$F$21,1,COLUMN()+2026-3-'Cost Inputs'!$B$14-2020),0)+IF(COLUMN()-2&gt;'Cost Inputs'!$B$14,INDEX($C$33:$L$33,1,COLUMN()-2-'Cost Inputs'!$B$14),0)</f>
        <v/>
      </c>
      <c r="I32" s="28">
        <f>IF(AND(COLUMN()+2026-3-'Cost Inputs'!$B$14&gt;=2021,COLUMN()+2026-3-'Cost Inputs'!$B$14&lt;=2025),INDEX('Cost Inputs'!$B$21:$F$21,1,COLUMN()+2026-3-'Cost Inputs'!$B$14-2020),0)+IF(COLUMN()-2&gt;'Cost Inputs'!$B$14,INDEX($C$33:$L$33,1,COLUMN()-2-'Cost Inputs'!$B$14),0)</f>
        <v/>
      </c>
      <c r="J32" s="28">
        <f>IF(AND(COLUMN()+2026-3-'Cost Inputs'!$B$14&gt;=2021,COLUMN()+2026-3-'Cost Inputs'!$B$14&lt;=2025),INDEX('Cost Inputs'!$B$21:$F$21,1,COLUMN()+2026-3-'Cost Inputs'!$B$14-2020),0)+IF(COLUMN()-2&gt;'Cost Inputs'!$B$14,INDEX($C$33:$L$33,1,COLUMN()-2-'Cost Inputs'!$B$14),0)</f>
        <v/>
      </c>
      <c r="K32" s="28">
        <f>IF(AND(COLUMN()+2026-3-'Cost Inputs'!$B$14&gt;=2021,COLUMN()+2026-3-'Cost Inputs'!$B$14&lt;=2025),INDEX('Cost Inputs'!$B$21:$F$21,1,COLUMN()+2026-3-'Cost Inputs'!$B$14-2020),0)+IF(COLUMN()-2&gt;'Cost Inputs'!$B$14,INDEX($C$33:$L$33,1,COLUMN()-2-'Cost Inputs'!$B$14),0)</f>
        <v/>
      </c>
      <c r="L32" s="28">
        <f>IF(AND(COLUMN()+2026-3-'Cost Inputs'!$B$14&gt;=2021,COLUMN()+2026-3-'Cost Inputs'!$B$14&lt;=2025),INDEX('Cost Inputs'!$B$21:$F$21,1,COLUMN()+2026-3-'Cost Inputs'!$B$14-2020),0)+IF(COLUMN()-2&gt;'Cost Inputs'!$B$14,INDEX($C$33:$L$33,1,COLUMN()-2-'Cost Inputs'!$B$14),0)</f>
        <v/>
      </c>
      <c r="M32" s="51">
        <f>SUM(C32:L32)</f>
        <v/>
      </c>
    </row>
    <row r="33">
      <c r="A33" s="23" t="inlineStr">
        <is>
          <t>Qserv nodes purchased</t>
        </is>
      </c>
      <c r="B33" s="23" t="inlineStr">
        <is>
          <t>nodes</t>
        </is>
      </c>
      <c r="C33" s="28">
        <f>C31+C32</f>
        <v/>
      </c>
      <c r="D33" s="28">
        <f>D31+D32</f>
        <v/>
      </c>
      <c r="E33" s="28">
        <f>E31+E32</f>
        <v/>
      </c>
      <c r="F33" s="28">
        <f>F31+F32</f>
        <v/>
      </c>
      <c r="G33" s="28">
        <f>G31+G32</f>
        <v/>
      </c>
      <c r="H33" s="28">
        <f>H31+H32</f>
        <v/>
      </c>
      <c r="I33" s="28">
        <f>I31+I32</f>
        <v/>
      </c>
      <c r="J33" s="28">
        <f>J31+J32</f>
        <v/>
      </c>
      <c r="K33" s="28">
        <f>K31+K32</f>
        <v/>
      </c>
      <c r="L33" s="28">
        <f>L31+L32</f>
        <v/>
      </c>
      <c r="M33" s="51">
        <f>SUM(C33:L33)</f>
        <v/>
      </c>
    </row>
    <row r="34">
      <c r="A34" s="23" t="inlineStr">
        <is>
          <t>Qserv cost</t>
        </is>
      </c>
      <c r="B34" s="23" t="inlineStr">
        <is>
          <t>$</t>
        </is>
      </c>
      <c r="C34" s="52">
        <f>C33*'Cost Inputs'!$B$5*(1+'Cost Inputs'!$B$11)^(0)</f>
        <v/>
      </c>
      <c r="D34" s="52">
        <f>D33*'Cost Inputs'!$B$5*(1+'Cost Inputs'!$B$11)^(1)</f>
        <v/>
      </c>
      <c r="E34" s="52">
        <f>E33*'Cost Inputs'!$B$5*(1+'Cost Inputs'!$B$11)^(2)</f>
        <v/>
      </c>
      <c r="F34" s="52">
        <f>F33*'Cost Inputs'!$B$5*(1+'Cost Inputs'!$B$11)^(3)</f>
        <v/>
      </c>
      <c r="G34" s="52">
        <f>G33*'Cost Inputs'!$B$5*(1+'Cost Inputs'!$B$11)^(4)</f>
        <v/>
      </c>
      <c r="H34" s="52">
        <f>H33*'Cost Inputs'!$B$5*(1+'Cost Inputs'!$B$11)^(5)</f>
        <v/>
      </c>
      <c r="I34" s="52">
        <f>I33*'Cost Inputs'!$B$5*(1+'Cost Inputs'!$B$11)^(6)</f>
        <v/>
      </c>
      <c r="J34" s="52">
        <f>J33*'Cost Inputs'!$B$5*(1+'Cost Inputs'!$B$11)^(7)</f>
        <v/>
      </c>
      <c r="K34" s="52">
        <f>K33*'Cost Inputs'!$B$5*(1+'Cost Inputs'!$B$11)^(8)</f>
        <v/>
      </c>
      <c r="L34" s="52">
        <f>L33*'Cost Inputs'!$B$5*(1+'Cost Inputs'!$B$11)^(9)</f>
        <v/>
      </c>
      <c r="M34" s="53">
        <f>SUM(C34:L34)</f>
        <v/>
      </c>
    </row>
    <row r="36">
      <c r="A36" s="3" t="inlineStr">
        <is>
          <t>HOSTING, OVERHEAD AND TOTALS</t>
        </is>
      </c>
      <c r="B36" s="4" t="n"/>
      <c r="C36" s="4" t="n"/>
      <c r="D36" s="4" t="n"/>
      <c r="E36" s="4" t="n"/>
      <c r="F36" s="4" t="n"/>
      <c r="G36" s="4" t="n"/>
      <c r="H36" s="4" t="n"/>
      <c r="I36" s="4" t="n"/>
      <c r="J36" s="4" t="n"/>
      <c r="K36" s="4" t="n"/>
      <c r="L36" s="4" t="n"/>
      <c r="M36" s="4" t="n"/>
    </row>
    <row r="37">
      <c r="A37" s="23" t="inlineStr">
        <is>
          <t>Hardware subtotal</t>
        </is>
      </c>
      <c r="B37" s="23" t="inlineStr">
        <is>
          <t>$</t>
        </is>
      </c>
      <c r="C37" s="52">
        <f>C15+C22+C24+C28+C34</f>
        <v/>
      </c>
      <c r="D37" s="52">
        <f>D15+D22+D24+D28+D34</f>
        <v/>
      </c>
      <c r="E37" s="52">
        <f>E15+E22+E24+E28+E34</f>
        <v/>
      </c>
      <c r="F37" s="52">
        <f>F15+F22+F24+F28+F34</f>
        <v/>
      </c>
      <c r="G37" s="52">
        <f>G15+G22+G24+G28+G34</f>
        <v/>
      </c>
      <c r="H37" s="52">
        <f>H15+H22+H24+H28+H34</f>
        <v/>
      </c>
      <c r="I37" s="52">
        <f>I15+I22+I24+I28+I34</f>
        <v/>
      </c>
      <c r="J37" s="52">
        <f>J15+J22+J24+J28+J34</f>
        <v/>
      </c>
      <c r="K37" s="52">
        <f>K15+K22+K24+K28+K34</f>
        <v/>
      </c>
      <c r="L37" s="52">
        <f>L15+L22+L24+L28+L34</f>
        <v/>
      </c>
      <c r="M37" s="53">
        <f>SUM(C37:L37)</f>
        <v/>
      </c>
    </row>
    <row r="38">
      <c r="A38" s="23" t="inlineStr">
        <is>
          <t>Nodes in service (approximate)</t>
        </is>
      </c>
      <c r="B38" s="23" t="inlineStr">
        <is>
          <t>nodes</t>
        </is>
      </c>
      <c r="C38" s="28">
        <f>335+SUM($C$12:C12)+SUM($C$31:C31)+SUM($C$27:C27)</f>
        <v/>
      </c>
      <c r="D38" s="28">
        <f>335+SUM($C$12:D12)+SUM($C$31:D31)+SUM($C$27:D27)</f>
        <v/>
      </c>
      <c r="E38" s="28">
        <f>335+SUM($C$12:E12)+SUM($C$31:E31)+SUM($C$27:E27)</f>
        <v/>
      </c>
      <c r="F38" s="28">
        <f>335+SUM($C$12:F12)+SUM($C$31:F31)+SUM($C$27:F27)</f>
        <v/>
      </c>
      <c r="G38" s="28">
        <f>335+SUM($C$12:G12)+SUM($C$31:G31)+SUM($C$27:G27)</f>
        <v/>
      </c>
      <c r="H38" s="28">
        <f>335+SUM($C$12:H12)+SUM($C$31:H31)+SUM($C$27:H27)</f>
        <v/>
      </c>
      <c r="I38" s="28">
        <f>335+SUM($C$12:I12)+SUM($C$31:I31)+SUM($C$27:I27)</f>
        <v/>
      </c>
      <c r="J38" s="28">
        <f>335+SUM($C$12:J12)+SUM($C$31:J31)+SUM($C$27:J27)</f>
        <v/>
      </c>
      <c r="K38" s="28">
        <f>335+SUM($C$12:K12)+SUM($C$31:K31)+SUM($C$27:K27)</f>
        <v/>
      </c>
      <c r="L38" s="28">
        <f>335+SUM($C$12:L12)+SUM($C$31:L31)+SUM($C$27:L27)</f>
        <v/>
      </c>
    </row>
    <row r="39">
      <c r="A39" s="23" t="inlineStr">
        <is>
          <t>Hosting</t>
        </is>
      </c>
      <c r="B39" s="23" t="inlineStr">
        <is>
          <t>$</t>
        </is>
      </c>
      <c r="C39" s="52">
        <f>C38*'Cost Inputs'!$B$8</f>
        <v/>
      </c>
      <c r="D39" s="52">
        <f>D38*'Cost Inputs'!$B$8</f>
        <v/>
      </c>
      <c r="E39" s="52">
        <f>E38*'Cost Inputs'!$B$8</f>
        <v/>
      </c>
      <c r="F39" s="52">
        <f>F38*'Cost Inputs'!$B$8</f>
        <v/>
      </c>
      <c r="G39" s="52">
        <f>G38*'Cost Inputs'!$B$8</f>
        <v/>
      </c>
      <c r="H39" s="52">
        <f>H38*'Cost Inputs'!$B$8</f>
        <v/>
      </c>
      <c r="I39" s="52">
        <f>I38*'Cost Inputs'!$B$8</f>
        <v/>
      </c>
      <c r="J39" s="52">
        <f>J38*'Cost Inputs'!$B$8</f>
        <v/>
      </c>
      <c r="K39" s="52">
        <f>K38*'Cost Inputs'!$B$8</f>
        <v/>
      </c>
      <c r="L39" s="52">
        <f>L38*'Cost Inputs'!$B$8</f>
        <v/>
      </c>
      <c r="M39" s="53">
        <f>SUM(C39:L39)</f>
        <v/>
      </c>
    </row>
    <row r="40">
      <c r="A40" s="23" t="inlineStr">
        <is>
          <t>Overhead</t>
        </is>
      </c>
      <c r="B40" s="23" t="inlineStr">
        <is>
          <t>$</t>
        </is>
      </c>
      <c r="C40" s="52">
        <f>C37*'Cost Inputs'!$B$9+'Cost Inputs'!$B$10</f>
        <v/>
      </c>
      <c r="D40" s="52">
        <f>D37*'Cost Inputs'!$B$9+'Cost Inputs'!$B$10</f>
        <v/>
      </c>
      <c r="E40" s="52">
        <f>E37*'Cost Inputs'!$B$9+'Cost Inputs'!$B$10</f>
        <v/>
      </c>
      <c r="F40" s="52">
        <f>F37*'Cost Inputs'!$B$9+'Cost Inputs'!$B$10</f>
        <v/>
      </c>
      <c r="G40" s="52">
        <f>G37*'Cost Inputs'!$B$9+'Cost Inputs'!$B$10</f>
        <v/>
      </c>
      <c r="H40" s="52">
        <f>H37*'Cost Inputs'!$B$9+'Cost Inputs'!$B$10</f>
        <v/>
      </c>
      <c r="I40" s="52">
        <f>I37*'Cost Inputs'!$B$9+'Cost Inputs'!$B$10</f>
        <v/>
      </c>
      <c r="J40" s="52">
        <f>J37*'Cost Inputs'!$B$9+'Cost Inputs'!$B$10</f>
        <v/>
      </c>
      <c r="K40" s="52">
        <f>K37*'Cost Inputs'!$B$9+'Cost Inputs'!$B$10</f>
        <v/>
      </c>
      <c r="L40" s="52">
        <f>L37*'Cost Inputs'!$B$9+'Cost Inputs'!$B$10</f>
        <v/>
      </c>
      <c r="M40" s="53">
        <f>SUM(C40:L40)</f>
        <v/>
      </c>
    </row>
    <row r="41">
      <c r="A41" s="26" t="inlineStr">
        <is>
          <t>TOTAL ANNUAL SPEND</t>
        </is>
      </c>
      <c r="B41" s="26" t="inlineStr">
        <is>
          <t>$</t>
        </is>
      </c>
      <c r="C41" s="52">
        <f>C37+C39+C40</f>
        <v/>
      </c>
      <c r="D41" s="52">
        <f>D37+D39+D40</f>
        <v/>
      </c>
      <c r="E41" s="52">
        <f>E37+E39+E40</f>
        <v/>
      </c>
      <c r="F41" s="52">
        <f>F37+F39+F40</f>
        <v/>
      </c>
      <c r="G41" s="52">
        <f>G37+G39+G40</f>
        <v/>
      </c>
      <c r="H41" s="52">
        <f>H37+H39+H40</f>
        <v/>
      </c>
      <c r="I41" s="52">
        <f>I37+I39+I40</f>
        <v/>
      </c>
      <c r="J41" s="52">
        <f>J37+J39+J40</f>
        <v/>
      </c>
      <c r="K41" s="52">
        <f>K37+K39+K40</f>
        <v/>
      </c>
      <c r="L41" s="52">
        <f>L37+L39+L40</f>
        <v/>
      </c>
      <c r="M41" s="53">
        <f>SUM(C41:L41)</f>
        <v/>
      </c>
    </row>
    <row r="42">
      <c r="A42" s="34" t="inlineStr">
        <is>
          <t>TOTAL ANNUAL SPEND</t>
        </is>
      </c>
      <c r="B42" s="34" t="inlineStr">
        <is>
          <t>$M</t>
        </is>
      </c>
      <c r="C42" s="54">
        <f>C41</f>
        <v/>
      </c>
      <c r="D42" s="54">
        <f>D41</f>
        <v/>
      </c>
      <c r="E42" s="54">
        <f>E41</f>
        <v/>
      </c>
      <c r="F42" s="54">
        <f>F41</f>
        <v/>
      </c>
      <c r="G42" s="54">
        <f>G41</f>
        <v/>
      </c>
      <c r="H42" s="54">
        <f>H41</f>
        <v/>
      </c>
      <c r="I42" s="54">
        <f>I41</f>
        <v/>
      </c>
      <c r="J42" s="54">
        <f>J41</f>
        <v/>
      </c>
      <c r="K42" s="54">
        <f>K41</f>
        <v/>
      </c>
      <c r="L42" s="54">
        <f>L41</f>
        <v/>
      </c>
      <c r="M42" s="55">
        <f>SUM(C42:L42)</f>
        <v/>
      </c>
    </row>
    <row r="43">
      <c r="A43" s="23" t="inlineStr">
        <is>
          <t>Cumulative spend</t>
        </is>
      </c>
      <c r="B43" s="23" t="inlineStr">
        <is>
          <t>$M</t>
        </is>
      </c>
      <c r="C43" s="56">
        <f>C42</f>
        <v/>
      </c>
      <c r="D43" s="56">
        <f>C43+D42</f>
        <v/>
      </c>
      <c r="E43" s="56">
        <f>D43+E42</f>
        <v/>
      </c>
      <c r="F43" s="56">
        <f>E43+F42</f>
        <v/>
      </c>
      <c r="G43" s="56">
        <f>F43+G42</f>
        <v/>
      </c>
      <c r="H43" s="56">
        <f>G43+H42</f>
        <v/>
      </c>
      <c r="I43" s="56">
        <f>H43+I42</f>
        <v/>
      </c>
      <c r="J43" s="56">
        <f>I43+J42</f>
        <v/>
      </c>
      <c r="K43" s="56">
        <f>J43+K42</f>
        <v/>
      </c>
      <c r="L43" s="56">
        <f>K43+L42</f>
        <v/>
      </c>
    </row>
    <row r="45" ht="26" customHeight="1">
      <c r="A45" s="29" t="inlineStr">
        <is>
          <t>HOW THIS TAB WORKS — every row is a formula; the only tabs it reads are Key Numbers (sizing), Cost Inputs (costs), All at USDF (demand and disk need) and Qserv (node counts).</t>
        </is>
      </c>
    </row>
    <row r="46" ht="14" customHeight="1">
      <c r="A46" s="29" t="inlineStr">
        <is>
          <t>Demand rows are linked straight from All at USDF so the two tabs can never disagree.</t>
        </is>
      </c>
    </row>
    <row r="47" ht="26" customHeight="1">
      <c r="A47" s="29" t="inlineStr">
        <is>
          <t>Batch need: peak Milano-equivalent cores less the current fleet capacity, divided by the Milano-equivalent cores a new node contributes (cores/node x speedup). Growth takes the year-on-year increase, so a node is bought once and then kept.</t>
        </is>
      </c>
    </row>
    <row r="48" ht="26" customHeight="1">
      <c r="A48" s="29" t="inlineStr">
        <is>
          <t>Cohort refresh: a purchase made in FY_x falls due in FY_x + compute lifetime. The first term looks up the historic grid on Cost Inputs; the second re-buys this tab's own earlier purchases. Changing the lifetime moves every replacement automatically.</t>
        </is>
      </c>
    </row>
    <row r="49" ht="26" customHeight="1">
      <c r="A49" s="29" t="inlineStr">
        <is>
          <t>Disk: the need comes from All at USDF; purchases cover only the shortfall against what is already installed and previously bought, and capacity is re-bought once the storage lifetime expires.</t>
        </is>
      </c>
    </row>
    <row r="50" ht="26" customHeight="1">
      <c r="A50" s="29" t="inlineStr">
        <is>
          <t>Tape: the increment in tape capacity that must be BOUGHT. Tape already on the floor and the capacity assumed available are netted off on All at USDF, so purchases begin only once the cumulative footprint exceeds that capacity.</t>
        </is>
      </c>
    </row>
    <row r="51" ht="26" customHeight="1">
      <c r="A51" s="29" t="inlineStr">
        <is>
          <t>Qserv: node counts come from the Qserv tab. Purchases track the running maximum, so the cluster never shrinks, plus cohort refresh on the same rule as batch.</t>
        </is>
      </c>
    </row>
    <row r="52" ht="26" customHeight="1">
      <c r="A52" s="29" t="inlineStr">
        <is>
          <t>Hosting scales with nodes in service; overhead is a percentage of the hardware subtotal plus a fixed annual amount.</t>
        </is>
      </c>
    </row>
    <row r="53" ht="14" customHeight="1">
      <c r="A53" s="29" t="inlineStr">
        <is>
          <t>The first column uses the recorded actual requests from Cost Inputs rather than the model.</t>
        </is>
      </c>
    </row>
    <row r="54" ht="26" customHeight="1">
      <c r="A54" s="29" t="inlineStr">
        <is>
          <t>SENSITIVITY: the live-intermediate fraction on Key Numbers is the single biggest driver of this forecast, and it is unmeasured. Change it there and every disk number moves.</t>
        </is>
      </c>
    </row>
  </sheetData>
  <mergeCells count="10">
    <mergeCell ref="A46:M46"/>
    <mergeCell ref="A45:M45"/>
    <mergeCell ref="A51:M51"/>
    <mergeCell ref="A50:M50"/>
    <mergeCell ref="A48:M48"/>
    <mergeCell ref="A53:M53"/>
    <mergeCell ref="A54:M54"/>
    <mergeCell ref="A49:M49"/>
    <mergeCell ref="A52:M52"/>
    <mergeCell ref="A47:M4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2026-09-15T19:43:54Z</dcterms:created>
  <dcterms:modified xsi:type="dcterms:W3CDTF">2026-09-15T19:43:54Z</dcterms:modified>
</cp:coreProperties>
</file>