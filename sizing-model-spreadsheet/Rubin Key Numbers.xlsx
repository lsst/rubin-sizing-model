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<sst xmlns="http://schemas.openxmlformats.org/spreadsheetml/2006/main" count="76" uniqueCount="66">
  <si>
    <t xml:space="preserve">see </t>
  </si>
  <si>
    <t>https://rubinobs.atlassian.net/wiki/spaces/LKB/pages/edit-v2/46137348</t>
  </si>
  <si>
    <t>unit</t>
  </si>
  <si>
    <t>gib</t>
  </si>
  <si>
    <t>gig</t>
  </si>
  <si>
    <t>mission years</t>
  </si>
  <si>
    <t>Y</t>
  </si>
  <si>
    <t>observing nights/year</t>
  </si>
  <si>
    <t>day</t>
  </si>
  <si>
    <t xml:space="preserve">assumed nights on sky </t>
  </si>
  <si>
    <t>2 weeks planned and 2 weeks unplanned outage</t>
  </si>
  <si>
    <t>visits 10 years</t>
  </si>
  <si>
    <t>M</t>
  </si>
  <si>
    <t>vsits 10 years (sim)</t>
  </si>
  <si>
    <t>probable number</t>
  </si>
  <si>
    <t>snaps</t>
  </si>
  <si>
    <t>wave front sensors</t>
  </si>
  <si>
    <t>CCD</t>
  </si>
  <si>
    <t>there are 8 WFS half CCD each</t>
  </si>
  <si>
    <t>images 10 years (probable)</t>
  </si>
  <si>
    <t>alerts per image</t>
  </si>
  <si>
    <t>vist per night (high)</t>
  </si>
  <si>
    <t>visit  over 10 years with 330 nights</t>
  </si>
  <si>
    <t>vist per night assumed (sim)</t>
  </si>
  <si>
    <t>visit  over 10 years with 300 nights</t>
  </si>
  <si>
    <t>round up visit/night</t>
  </si>
  <si>
    <t>ave alerts per night</t>
  </si>
  <si>
    <t>possible total alerts</t>
  </si>
  <si>
    <t>alert</t>
  </si>
  <si>
    <t>years -0.9 * nights * visits * alerts per image</t>
  </si>
  <si>
    <t>total alerts rounded</t>
  </si>
  <si>
    <t>biliion alerts</t>
  </si>
  <si>
    <t xml:space="preserve">calibrations </t>
  </si>
  <si>
    <t>per day</t>
  </si>
  <si>
    <t>exposure size nominal</t>
  </si>
  <si>
    <t>bits</t>
  </si>
  <si>
    <t xml:space="preserve">(562*2098 pixels including overscan × 16 amplifiers × (189 science CCDs + 4 wavefront sensors) × 18 bits) / ( to GB).  </t>
  </si>
  <si>
    <t>Bytes</t>
  </si>
  <si>
    <t>GBytes</t>
  </si>
  <si>
    <t>GiB</t>
  </si>
  <si>
    <t xml:space="preserve">data 24hr </t>
  </si>
  <si>
    <t>Data 24 hr TB rounded logical</t>
  </si>
  <si>
    <t>TBytes</t>
  </si>
  <si>
    <t xml:space="preserve">  </t>
  </si>
  <si>
    <t xml:space="preserve"> </t>
  </si>
  <si>
    <t>Actual image size on wire 1 ccd</t>
  </si>
  <si>
    <t>MB</t>
  </si>
  <si>
    <t>from ImageSizeUSDF.ipynb</t>
  </si>
  <si>
    <t>Actual calib size on wire 1 ccd</t>
  </si>
  <si>
    <t xml:space="preserve">Image size on wire </t>
  </si>
  <si>
    <t>GB</t>
  </si>
  <si>
    <t>average exposure from notebook</t>
  </si>
  <si>
    <t>Calib size on wire</t>
  </si>
  <si>
    <t xml:space="preserve">On wire nightly/daily </t>
  </si>
  <si>
    <t>using 700 visits</t>
  </si>
  <si>
    <t>On wire nightly/daily TB rounded</t>
  </si>
  <si>
    <t xml:space="preserve">data for 10 years logical </t>
  </si>
  <si>
    <t>PB</t>
  </si>
  <si>
    <t>2.1M science images 
+  1.48M total calibration images
= 4M total images 
8.2GB per image / (1000^2)  for PB</t>
  </si>
  <si>
    <t>data for 10 years rounded</t>
  </si>
  <si>
    <t>sanity using  24h logical high</t>
  </si>
  <si>
    <t>data on wire/disk for 10 years</t>
  </si>
  <si>
    <t>Sim images + calibs by wire size of each</t>
  </si>
  <si>
    <t>10 year probable (round up)</t>
  </si>
  <si>
    <t>OSS-REQ-0190</t>
  </si>
  <si>
    <t>visits/night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</si>
</sst>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00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1" numFmtId="1" xfId="0" applyAlignment="1" applyFont="1" applyNumberFormat="1">
      <alignment readingOrder="0"/>
    </xf>
    <xf borderId="0" fillId="0" fontId="1" numFmtId="1" xfId="0" applyFont="1" applyNumberFormat="1"/>
    <xf borderId="0" fillId="2" fontId="1" numFmtId="0" xfId="0" applyAlignment="1" applyFill="1" applyFont="1">
      <alignment readingOrder="0"/>
    </xf>
    <xf borderId="0" fillId="2" fontId="1" numFmtId="1" xfId="0" applyFont="1" applyNumberFormat="1"/>
    <xf borderId="0" fillId="2" fontId="1" numFmtId="0" xfId="0" applyFont="1"/>
    <xf borderId="0" fillId="0" fontId="1" numFmtId="3" xfId="0" applyAlignment="1" applyFont="1" applyNumberFormat="1">
      <alignment readingOrder="0"/>
    </xf>
    <xf borderId="0" fillId="2" fontId="1" numFmtId="3" xfId="0" applyAlignment="1" applyFont="1" applyNumberFormat="1">
      <alignment readingOrder="0"/>
    </xf>
    <xf borderId="0" fillId="2" fontId="1" numFmtId="164" xfId="0" applyFont="1" applyNumberFormat="1"/>
    <xf borderId="0" fillId="0" fontId="1" numFmtId="165" xfId="0" applyFont="1" applyNumberFormat="1"/>
    <xf borderId="0" fillId="2" fontId="1" numFmtId="2" xfId="0" applyFont="1" applyNumberFormat="1"/>
    <xf borderId="0" fillId="0" fontId="1" numFmtId="2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1" numFmtId="2" xfId="0" applyFont="1" applyNumberForma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rubinobs.atlassian.net/wiki/spaces/LKB/pages/edit-v2/46137348" TargetMode="External"/><Relationship Id="rId2" Type="http://schemas.openxmlformats.org/officeDocument/2006/relationships/hyperlink" Target="https://github.com/womullan/wom-notebooks/blob/main/ImageSizeUSDF.ipynb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0"/>
  </cols>
  <sheetData>
    <row r="1">
      <c r="A1" s="1" t="s">
        <v>0</v>
      </c>
      <c r="B1" s="2" t="s">
        <v>1</v>
      </c>
    </row>
    <row r="3">
      <c r="C3" s="1" t="s">
        <v>2</v>
      </c>
    </row>
    <row r="4">
      <c r="A4" s="1" t="s">
        <v>3</v>
      </c>
      <c r="B4" s="1">
        <v>1024.0</v>
      </c>
      <c r="C4" s="1"/>
    </row>
    <row r="5">
      <c r="A5" s="1" t="s">
        <v>4</v>
      </c>
      <c r="B5" s="1">
        <v>1000.0</v>
      </c>
      <c r="C5" s="1"/>
    </row>
    <row r="6">
      <c r="A6" s="1" t="s">
        <v>5</v>
      </c>
      <c r="B6" s="1">
        <v>10.0</v>
      </c>
      <c r="C6" s="1" t="s">
        <v>6</v>
      </c>
    </row>
    <row r="7">
      <c r="A7" s="1" t="s">
        <v>7</v>
      </c>
      <c r="B7" s="1">
        <v>330.0</v>
      </c>
      <c r="C7" s="1" t="s">
        <v>8</v>
      </c>
    </row>
    <row r="8">
      <c r="A8" s="1" t="s">
        <v>9</v>
      </c>
      <c r="B8" s="1">
        <v>300.0</v>
      </c>
      <c r="C8" s="1" t="s">
        <v>8</v>
      </c>
      <c r="D8" s="1" t="s">
        <v>10</v>
      </c>
    </row>
    <row r="9">
      <c r="A9" s="1" t="s">
        <v>11</v>
      </c>
      <c r="B9" s="1">
        <v>2.75</v>
      </c>
      <c r="C9" s="1" t="s">
        <v>12</v>
      </c>
    </row>
    <row r="10">
      <c r="A10" s="1" t="s">
        <v>13</v>
      </c>
      <c r="B10" s="1">
        <v>2.1</v>
      </c>
      <c r="C10" s="1" t="s">
        <v>12</v>
      </c>
      <c r="D10" s="1" t="s">
        <v>14</v>
      </c>
    </row>
    <row r="11">
      <c r="A11" s="1" t="s">
        <v>15</v>
      </c>
      <c r="B11" s="1">
        <v>1.0</v>
      </c>
    </row>
    <row r="12">
      <c r="A12" s="1" t="s">
        <v>16</v>
      </c>
      <c r="B12" s="1">
        <v>4.0</v>
      </c>
      <c r="C12" s="1" t="s">
        <v>17</v>
      </c>
      <c r="D12" s="1" t="s">
        <v>18</v>
      </c>
    </row>
    <row r="13">
      <c r="A13" s="1" t="s">
        <v>19</v>
      </c>
      <c r="B13" s="3">
        <f>B11*B10</f>
        <v>2.1</v>
      </c>
      <c r="C13" s="3" t="str">
        <f>C9</f>
        <v>M</v>
      </c>
    </row>
    <row r="14">
      <c r="A14" s="1" t="s">
        <v>20</v>
      </c>
      <c r="B14" s="4">
        <v>10000.0</v>
      </c>
      <c r="D14" s="1"/>
    </row>
    <row r="15">
      <c r="A15" s="1" t="s">
        <v>21</v>
      </c>
      <c r="B15" s="5">
        <f>B$9*1000000/ 10  /B7</f>
        <v>833.3333333</v>
      </c>
      <c r="D15" s="1" t="s">
        <v>22</v>
      </c>
    </row>
    <row r="16">
      <c r="A16" s="6" t="s">
        <v>23</v>
      </c>
      <c r="B16" s="7">
        <f>B$10*1000000/ 10  /B8</f>
        <v>700</v>
      </c>
      <c r="C16" s="8"/>
      <c r="D16" s="6" t="s">
        <v>24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1" t="s">
        <v>25</v>
      </c>
      <c r="B17" s="1">
        <f>CEILING(B16,50)</f>
        <v>700</v>
      </c>
      <c r="C17" s="1"/>
    </row>
    <row r="18">
      <c r="A18" s="1" t="s">
        <v>26</v>
      </c>
      <c r="B18" s="9">
        <f>B16*B14</f>
        <v>7000000</v>
      </c>
      <c r="C18" s="1"/>
    </row>
    <row r="19">
      <c r="A19" s="1" t="s">
        <v>27</v>
      </c>
      <c r="B19" s="9">
        <f>(B6-0.9)*B8*B16*B14</f>
        <v>19110000000</v>
      </c>
      <c r="C19" s="1" t="s">
        <v>28</v>
      </c>
      <c r="D19" s="1" t="s">
        <v>29</v>
      </c>
    </row>
    <row r="20">
      <c r="A20" s="6" t="s">
        <v>30</v>
      </c>
      <c r="B20" s="10">
        <f>round(B19/(10^9)+0.5,0)</f>
        <v>20</v>
      </c>
      <c r="C20" s="6" t="s">
        <v>31</v>
      </c>
      <c r="D20" s="6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1" t="s">
        <v>32</v>
      </c>
      <c r="B21" s="1">
        <v>450.0</v>
      </c>
      <c r="C21" s="1" t="s">
        <v>33</v>
      </c>
    </row>
    <row r="22">
      <c r="A22" s="1" t="s">
        <v>34</v>
      </c>
      <c r="B22" s="1">
        <f>((562*2098 *16 *(189 + B12)) * 18  )</f>
        <v>65537760384</v>
      </c>
      <c r="C22" s="1" t="s">
        <v>35</v>
      </c>
      <c r="D22" s="1" t="s">
        <v>36</v>
      </c>
    </row>
    <row r="23">
      <c r="A23" s="1"/>
      <c r="B23" s="3">
        <f>B22/8</f>
        <v>8192220048</v>
      </c>
      <c r="C23" s="1" t="s">
        <v>37</v>
      </c>
    </row>
    <row r="24">
      <c r="A24" s="6"/>
      <c r="B24" s="11">
        <f>B23/(B5^3)</f>
        <v>8.192220048</v>
      </c>
      <c r="C24" s="6" t="s">
        <v>38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1"/>
      <c r="B25" s="3">
        <f>B23/(B4^3)</f>
        <v>7.629599467</v>
      </c>
      <c r="C25" s="1" t="s">
        <v>39</v>
      </c>
    </row>
    <row r="26">
      <c r="A26" s="1" t="s">
        <v>40</v>
      </c>
      <c r="B26" s="12">
        <f>(B16 +B21 ) *B24</f>
        <v>9421.053055</v>
      </c>
      <c r="C26" s="3" t="str">
        <f>C24</f>
        <v>GBytes</v>
      </c>
    </row>
    <row r="27">
      <c r="A27" s="6" t="s">
        <v>41</v>
      </c>
      <c r="B27" s="13">
        <f>round(B26/B5 +0.5,0)</f>
        <v>10</v>
      </c>
      <c r="C27" s="6" t="s">
        <v>42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1" t="s">
        <v>43</v>
      </c>
      <c r="B28" s="14" t="s">
        <v>44</v>
      </c>
      <c r="D28" s="1" t="s">
        <v>44</v>
      </c>
    </row>
    <row r="29">
      <c r="A29" s="1" t="s">
        <v>45</v>
      </c>
      <c r="B29" s="1">
        <v>19.7</v>
      </c>
      <c r="C29" s="1" t="s">
        <v>46</v>
      </c>
      <c r="D29" s="15" t="s">
        <v>47</v>
      </c>
    </row>
    <row r="30">
      <c r="A30" s="1" t="s">
        <v>48</v>
      </c>
      <c r="B30" s="1">
        <v>11.56</v>
      </c>
      <c r="C30" s="1" t="s">
        <v>46</v>
      </c>
    </row>
    <row r="31">
      <c r="A31" s="6" t="s">
        <v>49</v>
      </c>
      <c r="B31" s="8">
        <f>ROUND(B29 * (189 +4) / B5,2)</f>
        <v>3.8</v>
      </c>
      <c r="C31" s="6" t="s">
        <v>50</v>
      </c>
      <c r="D31" s="6" t="s">
        <v>51</v>
      </c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6" t="s">
        <v>52</v>
      </c>
      <c r="B32" s="6">
        <v>2.3</v>
      </c>
      <c r="C32" s="6" t="s">
        <v>50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1" t="s">
        <v>53</v>
      </c>
      <c r="B33" s="3">
        <f>B17*B31 + B21*B32</f>
        <v>3695</v>
      </c>
      <c r="C33" s="1" t="s">
        <v>50</v>
      </c>
      <c r="D33" s="1" t="s">
        <v>54</v>
      </c>
    </row>
    <row r="34">
      <c r="A34" s="6" t="s">
        <v>55</v>
      </c>
      <c r="B34" s="13">
        <f>round(B33/B5 +0.5,0)</f>
        <v>4</v>
      </c>
      <c r="C34" s="6" t="s">
        <v>42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6">
      <c r="A36" s="1" t="s">
        <v>56</v>
      </c>
      <c r="B36" s="14">
        <f>((B10*10^6 * B24)+ (B$21*B$8*B$6 * B24))/(B5^2)</f>
        <v>28.26315917</v>
      </c>
      <c r="C36" s="1" t="s">
        <v>57</v>
      </c>
      <c r="D36" s="1" t="s">
        <v>58</v>
      </c>
    </row>
    <row r="37">
      <c r="A37" s="6" t="s">
        <v>59</v>
      </c>
      <c r="B37" s="13">
        <f>ROUND(B36+0.5,0)</f>
        <v>29</v>
      </c>
      <c r="C37" s="6" t="s">
        <v>57</v>
      </c>
      <c r="D37" s="8"/>
      <c r="E37" s="8"/>
      <c r="F37" s="8"/>
      <c r="G37" s="6" t="s">
        <v>60</v>
      </c>
      <c r="H37" s="13">
        <f>B8*B26*B6 /(B5^2)</f>
        <v>28.26315917</v>
      </c>
      <c r="I37" s="6" t="s">
        <v>57</v>
      </c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B38" s="16"/>
    </row>
    <row r="39">
      <c r="A39" s="1" t="s">
        <v>61</v>
      </c>
      <c r="B39" s="14">
        <f>((B$13*10^6 * B31)+ (B$21*B$7*B$6 * B32))/(1024 * 1024)</f>
        <v>10.86759567</v>
      </c>
      <c r="C39" s="1" t="s">
        <v>57</v>
      </c>
      <c r="D39" s="1" t="s">
        <v>62</v>
      </c>
    </row>
    <row r="40">
      <c r="A40" s="6" t="s">
        <v>63</v>
      </c>
      <c r="B40" s="13">
        <f>ROUND(B39+0.5,0)</f>
        <v>11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2">
      <c r="A42" s="17" t="s">
        <v>64</v>
      </c>
      <c r="B42" s="1">
        <f>550000</f>
        <v>550000</v>
      </c>
    </row>
    <row r="43">
      <c r="A43" s="1" t="s">
        <v>65</v>
      </c>
      <c r="B43" s="3">
        <f>round(B42/B7,0)/2</f>
        <v>833.5</v>
      </c>
    </row>
  </sheetData>
  <hyperlinks>
    <hyperlink r:id="rId1" ref="B1"/>
    <hyperlink r:id="rId2" ref="D29"/>
  </hyperlinks>
  <drawing r:id="rId3"/>
</worksheet>
</file>