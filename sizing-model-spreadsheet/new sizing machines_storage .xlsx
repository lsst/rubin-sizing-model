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 sheetId="1" r:id="rId5"/>
    <sheet state="visible" name="Cloud" sheetId="2" r:id="rId6"/>
    <sheet state="visible" name="PreOps" sheetId="3" r:id="rId7"/>
    <sheet state="visible" name="Ops Costs" sheetId="4" r:id="rId8"/>
    <sheet state="visible" name="Comissioning" sheetId="5" r:id="rId9"/>
    <sheet state="visible" name="Storage" sheetId="6" r:id="rId10"/>
    <sheet state="visible" name="Compute" sheetId="7" r:id="rId11"/>
    <sheet state="visible" name="Ops Storage" sheetId="8" r:id="rId12"/>
    <sheet state="visible" name="Ops Compute" sheetId="9" r:id="rId13"/>
    <sheet state="visible" name="OPS proposal " sheetId="10" r:id="rId14"/>
    <sheet state="visible" name="LDM-572 Chile" sheetId="11" r:id="rId15"/>
    <sheet state="visible" name="Charts" sheetId="12" r:id="rId16"/>
    <sheet state="visible" name="SOW-010" sheetId="13" r:id="rId17"/>
    <sheet state="visible" name="FOA" sheetId="14" r:id="rId18"/>
    <sheet state="visible" name="Network Flow" sheetId="15" r:id="rId19"/>
  </sheets>
  <definedNames>
    <definedName localSheetId="7" name="opsObjectCount">'Ops Storage'!$4:$4</definedName>
    <definedName name="lossyCompression">Storage!$C$13</definedName>
    <definedName name="computeLifetime">Model!$B$127</definedName>
    <definedName name="rawCompression">Storage!$C$12</definedName>
    <definedName name="qservFac">Model!$H$77</definedName>
    <definedName localSheetId="7" name="opsCalsPerDay">'Ops Storage'!$C$18</definedName>
    <definedName name="coreHoursPerTB">Compute!$C$8</definedName>
    <definedName name="sourceCount">Storage!$5:$5</definedName>
    <definedName name="visitsPerNight">Storage!$C$17</definedName>
    <definedName localSheetId="7" name="visitsPerNight">'Ops Storage'!$C$16</definedName>
    <definedName localSheetId="7" name="opsObjectExtraRowSize">'Ops Storage'!$24:$24</definedName>
    <definedName localSheetId="7" name="opsObjectRowSize">'Ops Storage'!$23:$23</definedName>
    <definedName localSheetId="7" name="nightsPerYear">'Ops Storage'!$C$15</definedName>
    <definedName name="nightsPerYear">Storage!$C$16</definedName>
    <definedName localSheetId="7" name="qservReplication">'Ops Storage'!$C$27</definedName>
    <definedName name="reduceCPU">Model!$G$3</definedName>
    <definedName name="lsstCamImageToHscRatio">Storage!$C$14</definedName>
    <definedName name="imagesPerVisit">Storage!$C$18</definedName>
    <definedName name="sourceRowSize">Storage!$27:$27</definedName>
    <definedName name="cpuFac">Model!$H$75</definedName>
    <definedName name="objectCount">Storage!$4:$4</definedName>
    <definedName localSheetId="7" name="opsSourceCount">'Ops Storage'!$5:$5</definedName>
    <definedName name="storageLifetime">Model!$B$128</definedName>
    <definedName localSheetId="7" name="opsImagesPerVisit">'Ops Storage'!$C$17</definedName>
    <definedName localSheetId="7" name="opsSourceRowSize">'Ops Storage'!$25:$25</definedName>
    <definedName name="diskFac">Model!$H$76</definedName>
    <definedName localSheetId="7" name="opsForcedSourceRowSize">'Ops Storage'!$C$26:$L$26</definedName>
    <definedName name="objectRowSize">Storage!$25:$25</definedName>
    <definedName name="qservReplication">Storage!$29:$29</definedName>
    <definedName name="forcedSourceRowSize">Storage!$28:$28</definedName>
    <definedName name="lsstCamImageSize">Storage!$C$11</definedName>
    <definedName name="forcedSourceCount">Storage!$6:$6</definedName>
    <definedName name="lsstCamScienceImages">Storage!$20:$20</definedName>
    <definedName name="calsPerDay">Storage!$C$19</definedName>
    <definedName localSheetId="7" name="lsstCamScienceImages">'Ops Storage'!$19:$19</definedName>
    <definedName localSheetId="7" name="opsForcedSourceCount">'Ops Storage'!$6:$6</definedName>
    <definedName name="objectExtraRowSize">Storage!$26:$26</definedName>
    <definedName localSheetId="7" name="lossyCompression">'Ops Storage'!$C$13</definedName>
    <definedName name="tbPerScienceUser">Storage!$9:$9</definedName>
    <definedName name="scaleYear">Model!$G$11</definedName>
    <definedName localSheetId="7" name="opsScienceUsers">'Ops Storage'!$C$8:$L$8</definedName>
    <definedName localSheetId="7" name="opsTBPerScienceUser">'Ops Storage'!$9:$9</definedName>
    <definedName name="scienceUsers">Storage!$8:$8</definedName>
    <definedName localSheetId="7" name="opsRawCompression">'Ops Storage'!$C$12</definedName>
    <definedName localSheetId="7" name="lsstCamImageSize">'Ops Storage'!$C$11</definedName>
    <definedName name="reduceDisk">Model!$G$4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2">
      <text>
        <t xml:space="preserve">Alerts machines are only included evry 3rd year once you own them you have them for 3 years before replacing - arguably they are not needed in 2017 at all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3">
      <text>
        <t xml:space="preserve">Alerts machines are only included evry 3rd year once you own them you have them for 3 years before replacing - arguably they are not needed in 2017 at all
</t>
      </text>
    </comment>
  </commentList>
</comments>
</file>

<file path=xl/sharedStrings.xml><?xml version="1.0" encoding="utf-8"?>
<sst xmlns="http://schemas.openxmlformats.org/spreadsheetml/2006/main" count="1274" uniqueCount="725">
  <si>
    <t>Table Summary</t>
  </si>
  <si>
    <t xml:space="preserve">This table pulls together all the information in a high level summary - in this table Xeon pricing is used since that is the more expensive but better known option. Price factors, defined in \tabref{tab:Inputs} are applied post 2020.
</t>
  </si>
  <si>
    <t>Factors</t>
  </si>
  <si>
    <t>Year</t>
  </si>
  <si>
    <t xml:space="preserve">Experimental </t>
  </si>
  <si>
    <t>should be or was</t>
  </si>
  <si>
    <t>Compute (2019 pricing)</t>
  </si>
  <si>
    <r>
      <rPr>
        <rFont val="Arial"/>
        <color theme="1"/>
      </rPr>
      <t xml:space="preserve">Reduce DRP </t>
    </r>
    <r>
      <rPr>
        <rFont val="Arial"/>
        <b/>
        <color theme="1"/>
      </rPr>
      <t>ONLY</t>
    </r>
    <r>
      <rPr>
        <rFont val="Arial"/>
        <color theme="1"/>
      </rPr>
      <t xml:space="preserve"> CPU by this factor</t>
    </r>
  </si>
  <si>
    <t>Storage (2019 pricing)</t>
  </si>
  <si>
    <t>Reduce Disk by this factor</t>
  </si>
  <si>
    <t>Qserv (2019 pricing)</t>
  </si>
  <si>
    <t>Price of slow (latent) disk</t>
  </si>
  <si>
    <t>Total (2019 pricing)</t>
  </si>
  <si>
    <t>Price factor for disk</t>
  </si>
  <si>
    <t>Compute (applying price factor)</t>
  </si>
  <si>
    <t>Price factor for cpu</t>
  </si>
  <si>
    <t>IN2P3 (50% of compute in ops)</t>
  </si>
  <si>
    <t>Forced Source Multiplier (ops)</t>
  </si>
  <si>
    <t>UKDF (25% of compute in ops)</t>
  </si>
  <si>
    <t>Qserv nodes in Chile 2022</t>
  </si>
  <si>
    <t>Storage (applying price factor)</t>
  </si>
  <si>
    <t>DAC nodes Chile 2022</t>
  </si>
  <si>
    <t>Qserv (applying price factor)</t>
  </si>
  <si>
    <t>Year for price estimates used in scaling</t>
  </si>
  <si>
    <t xml:space="preserve">Hosting cost NCSA
</t>
  </si>
  <si>
    <t>Latent storage factor chile</t>
  </si>
  <si>
    <t>Total budget (using price factors)</t>
  </si>
  <si>
    <t xml:space="preserve">Peso Rate </t>
  </si>
  <si>
    <t>Latent storage factor chile using RAW+Coadd</t>
  </si>
  <si>
    <t>Table Scope</t>
  </si>
  <si>
    <t>NOW OBSOLETE Scope option of delaying the purchase of LOY1 processing hardware and only purchasing what is needed for commissioning was enacted. We only purchase up to and including 2022 hardware of \tabref{tab:Summary}. If we consider that amount and the current remaining construction budget for hardware the potential worth of such a scope option is given in this table.</t>
  </si>
  <si>
    <t>This is now  obsolete since the LCR already returnd 10M to ops</t>
  </si>
  <si>
    <t xml:space="preserve">Commissioning Budget (to 2022)  </t>
  </si>
  <si>
    <t>DM construciton budet remaining</t>
  </si>
  <si>
    <t>(from p6 - Klong email 17 dec 2019 12:52)</t>
  </si>
  <si>
    <t xml:space="preserve">Total potential to delay to ops </t>
  </si>
  <si>
    <t>Includes Chilean Storage (2023)</t>
  </si>
  <si>
    <t>Include Chilean Compute (2023)</t>
  </si>
  <si>
    <t>Table Machines</t>
  </si>
  <si>
    <t>Machine types and costs used as inputs used for calculations</t>
  </si>
  <si>
    <t xml:space="preserve">Type of machine </t>
  </si>
  <si>
    <t>Cores</t>
  </si>
  <si>
    <t>Memory(GB)</t>
  </si>
  <si>
    <t>Eff cores/node</t>
  </si>
  <si>
    <t>Cost</t>
  </si>
  <si>
    <t xml:space="preserve">purpose/use </t>
  </si>
  <si>
    <t xml:space="preserve">notes </t>
  </si>
  <si>
    <t xml:space="preserve">Xeon </t>
  </si>
  <si>
    <t xml:space="preserve">current K8 node </t>
  </si>
  <si>
    <t xml:space="preserve">Qserv </t>
  </si>
  <si>
    <t xml:space="preserve">current qserv node </t>
  </si>
  <si>
    <t xml:space="preserve">has 11 internal drives too </t>
  </si>
  <si>
    <t xml:space="preserve">small rome  </t>
  </si>
  <si>
    <t>https://www.microway.com/product/navion-1u-amd-epyc-gpu-server/</t>
  </si>
  <si>
    <t xml:space="preserve">large rome </t>
  </si>
  <si>
    <t>from Richard</t>
  </si>
  <si>
    <t xml:space="preserve">current compute node </t>
  </si>
  <si>
    <t>current compute node</t>
  </si>
  <si>
    <t>FLOPS = sockets * (cores per socket) * (number of clock cycles per second) * (number of floating point operations per cycle).</t>
  </si>
  <si>
    <t>xeon flops real = 16*.85 = 13.6</t>
  </si>
  <si>
    <t>Table Storage</t>
  </si>
  <si>
    <t>Storage types and costs used as inputs used for calculations</t>
  </si>
  <si>
    <t xml:space="preserve">Storage type </t>
  </si>
  <si>
    <t>Estimate(SLAC)</t>
  </si>
  <si>
    <t>Estimate(NCSA)</t>
  </si>
  <si>
    <t>note</t>
  </si>
  <si>
    <t xml:space="preserve">fast -- NVMe (50GB/s each) /TB  </t>
  </si>
  <si>
    <t xml:space="preserve">for each TB with file system servers to DDN NVME box with GPFS servers.
TOP performer with best price also. </t>
  </si>
  <si>
    <t xml:space="preserve">normal - SATA GPFS file systems/TB  </t>
  </si>
  <si>
    <t xml:space="preserve">for each TB with file system disks and servers locally attached to production resources.   </t>
  </si>
  <si>
    <t xml:space="preserve">latency -- slower but on disk </t>
  </si>
  <si>
    <t xml:space="preserve">for each TB with file systems  or potentially S3 bucket type.  
Can be mounted if needed but not for production worthy speeds. Based on recent LDF purchases.   This is a capacity buy, doubling the storage behind a controller. </t>
  </si>
  <si>
    <t xml:space="preserve">high latency -- very slow -- on tape </t>
  </si>
  <si>
    <t>for each TB based on LT08 at $10 a cartridge plus cost of robot/cabinets .. i.e. assumes large storage of PB or more</t>
  </si>
  <si>
    <t xml:space="preserve">what is the process needed to do: </t>
  </si>
  <si>
    <t xml:space="preserve">Qserv, Consolided DB, LSP, DBB (Chile, LDF) </t>
  </si>
  <si>
    <t xml:space="preserve">DP0,DP1 </t>
  </si>
  <si>
    <t>Table Inputs</t>
  </si>
  <si>
    <t>Various inputs for deriving costs - 2019 represents current holdings.</t>
  </si>
  <si>
    <t xml:space="preserve">DR1, Early alerts </t>
  </si>
  <si>
    <t>Core-hours Needed Total (DRP)</t>
  </si>
  <si>
    <t>Annual Increase</t>
  </si>
  <si>
    <t>Time to Process days</t>
  </si>
  <si>
    <t>Time to Process hours</t>
  </si>
  <si>
    <t>Instantaneous cores (DRP) Total</t>
  </si>
  <si>
    <t>Instantaneous cores (DRP) Annual increase</t>
  </si>
  <si>
    <t>Instantaneous cores (Alerts)</t>
  </si>
  <si>
    <t>Cores (Alerts) Annual increase</t>
  </si>
  <si>
    <t>Instantaneous cores (US DAC/Staff)</t>
  </si>
  <si>
    <t>this looks wrong but is probalby correct 10% on top</t>
  </si>
  <si>
    <t>Cores (US DAC/Staff) Annual increase</t>
  </si>
  <si>
    <t>Instantaneous cores (Chilean DAC)</t>
  </si>
  <si>
    <t>Zero out DAC cores thats noew all ops</t>
  </si>
  <si>
    <t>Cores (Chilean DAC) Annual increase</t>
  </si>
  <si>
    <t>Qserv nodes (US DAC/Staff)</t>
  </si>
  <si>
    <t>Qserv nodes (US DAC/Staff) Annual Increase</t>
  </si>
  <si>
    <t>Qserv nodes (Chilean DAC)</t>
  </si>
  <si>
    <t xml:space="preserve">Zero out Qserv  thats now ops </t>
  </si>
  <si>
    <t>Qserv nodes (Chilean DAC) Annual Increase</t>
  </si>
  <si>
    <t>Total Cores Annual Increase</t>
  </si>
  <si>
    <t>Fast Storage (TB)</t>
  </si>
  <si>
    <t>Annual Increase (Fast)</t>
  </si>
  <si>
    <t>Normal Storage (TB)</t>
  </si>
  <si>
    <t>Annual Increase (Normal)</t>
  </si>
  <si>
    <t>Latent Storage  (TB)</t>
  </si>
  <si>
    <t>Annual Increase (Latent)</t>
  </si>
  <si>
    <t>High Latency (TB)</t>
  </si>
  <si>
    <t>Annual Increase (High Latency)</t>
  </si>
  <si>
    <t>Chilean DAC Fast Storage (TB)</t>
  </si>
  <si>
    <t>Annual Increase (Fast Chilean DAC)</t>
  </si>
  <si>
    <t>Chilean DAC Latent Storage (TB)</t>
  </si>
  <si>
    <t>Annual Increase (Latent Chilean DAC)</t>
  </si>
  <si>
    <t>As a factor for compounding</t>
  </si>
  <si>
    <t>Annual price decrease CPU</t>
  </si>
  <si>
    <t>Annual price decrease Storage</t>
  </si>
  <si>
    <t>Annual price decrease Qserv</t>
  </si>
  <si>
    <t xml:space="preserve">Chile peso rate </t>
  </si>
  <si>
    <t>Table Xeon</t>
  </si>
  <si>
    <t>Implementation with Intel Xeon</t>
  </si>
  <si>
    <t>Number of Xeon</t>
  </si>
  <si>
    <t>Was not including sciplat nor alerts</t>
  </si>
  <si>
    <t>Approximate cost</t>
  </si>
  <si>
    <t>Table Rome</t>
  </si>
  <si>
    <t>Implementation with AMD Rome (we have no good proce for these reallly)</t>
  </si>
  <si>
    <t xml:space="preserve">number of small rome </t>
  </si>
  <si>
    <t xml:space="preserve">Approximate cost of small rome </t>
  </si>
  <si>
    <t xml:space="preserve">number of large rome </t>
  </si>
  <si>
    <t xml:space="preserve">Approximate cost of large rome </t>
  </si>
  <si>
    <t>Table StorageCost</t>
  </si>
  <si>
    <t>Total storage cost estimate</t>
  </si>
  <si>
    <t>Fast Storage</t>
  </si>
  <si>
    <t>Fast Storage Chile</t>
  </si>
  <si>
    <t>Normal Storage</t>
  </si>
  <si>
    <t>Latent Storage</t>
  </si>
  <si>
    <t>Latent Storage Chile</t>
  </si>
  <si>
    <t>High Latency Storage</t>
  </si>
  <si>
    <t>Total</t>
  </si>
  <si>
    <r>
      <rPr>
        <rFont val="Arial"/>
        <b/>
        <color theme="1"/>
      </rPr>
      <t>Table</t>
    </r>
    <r>
      <rPr>
        <rFont val="Arial"/>
        <color theme="1"/>
      </rPr>
      <t xml:space="preserve"> overheadCost</t>
    </r>
  </si>
  <si>
    <t xml:space="preserve">Overheads(NCSA) per year based on number of cores in \tabref{tab:Inputs} and costs in \tabref{tab:overheads} assuming Xeon density from \tabref{tab:Machines}. </t>
  </si>
  <si>
    <t>Total Incremental cores (USA)</t>
  </si>
  <si>
    <t>Total owned cores (USA)</t>
  </si>
  <si>
    <t>Total owned nodes</t>
  </si>
  <si>
    <t>Cost for hosting nodes</t>
  </si>
  <si>
    <t>Total new nodes</t>
  </si>
  <si>
    <t>Total new racks</t>
  </si>
  <si>
    <t xml:space="preserve">Rack install cost </t>
  </si>
  <si>
    <t>Total Overhead (NCSA)</t>
  </si>
  <si>
    <r>
      <rPr>
        <rFont val="Arial"/>
        <b/>
        <color theme="1"/>
      </rPr>
      <t>Table</t>
    </r>
    <r>
      <rPr>
        <rFont val="Arial"/>
        <color theme="1"/>
      </rPr>
      <t xml:space="preserve"> overheads </t>
    </r>
  </si>
  <si>
    <t>Overhead costs per rack</t>
  </si>
  <si>
    <t>Item</t>
  </si>
  <si>
    <t>Number/Cost</t>
  </si>
  <si>
    <t xml:space="preserve">Compute nodes in a rack </t>
  </si>
  <si>
    <t xml:space="preserve">Rack initial cost has power, networking switches, networking cables, ready for machine installation-- switches last 5 years.  Will need to refresh, but rack should last entire project.  </t>
  </si>
  <si>
    <t xml:space="preserve"> ** need to add annually: floor space for rack for 1 years.   need to renew after new nodes are racked/stacked </t>
  </si>
  <si>
    <t xml:space="preserve"> </t>
  </si>
  <si>
    <t xml:space="preserve">** Need to add annually: power for 1 node for 1 yr - kw * rate * hours/year * </t>
  </si>
  <si>
    <t xml:space="preserve">** need to add annually: cooling for 1 node for 5 years  kw* chilled water per MBTU* hours/year *  1KW in (MBTU) </t>
  </si>
  <si>
    <t xml:space="preserve">** Need to add annually: maintenance for nodes -- can't purchase more than what the contract has in time left.  could be included in the price of the machine, and might not be added in here.  </t>
  </si>
  <si>
    <t xml:space="preserve">Cost for each machine for 1 year in a rack.   </t>
  </si>
  <si>
    <t xml:space="preserve">**** need to add in at an annual basis.  software maintenance (oracle and other software not associated with specific node annually)  Oracle license, VM licensing.  </t>
  </si>
  <si>
    <t>Power per Rack (for Chile) Watts</t>
  </si>
  <si>
    <t>R440 42 nodes in a rack - from dell website (Cristian Silva) http://dell-ui-eipt.azurewebsites.net/#/</t>
  </si>
  <si>
    <t xml:space="preserve">Approx PB per Storage Rack </t>
  </si>
  <si>
    <t>Compute node lifetime (years)</t>
  </si>
  <si>
    <t>Storage lifetime (years)</t>
  </si>
  <si>
    <t xml:space="preserve">Chile Power CLP / KW-hr
</t>
  </si>
  <si>
    <t>Cooling Power Kw - Stressed</t>
  </si>
  <si>
    <t>Kwh</t>
  </si>
  <si>
    <t>Under stress a full rack uses an average of 2Kwh</t>
  </si>
  <si>
    <t>Cooling Power Kw - Not Stressed</t>
  </si>
  <si>
    <t>2600 btu/h for a full rack, 1kW = 3412 BTU/hr.</t>
  </si>
  <si>
    <t>Table cloud</t>
  </si>
  <si>
    <t>We have on going cloud costs and assume some other activities may be on cloud in the future - we make an estimate of those costs here.</t>
  </si>
  <si>
    <t>| l  |r  |r  |r  |r  |r  |r  |r  |r  |r  |r  |r  |r |</t>
  </si>
  <si>
    <t xml:space="preserve">Year  </t>
  </si>
  <si>
    <t>Jira Cloud</t>
  </si>
  <si>
    <t>Current actuals</t>
  </si>
  <si>
    <t>RPF sims, V&amp;V</t>
  </si>
  <si>
    <t>As M$</t>
  </si>
  <si>
    <t xml:space="preserve">Sims </t>
  </si>
  <si>
    <t>8 nodes 12 CPUs 5 days</t>
  </si>
  <si>
    <t>Table cdacneeds</t>
  </si>
  <si>
    <t>Hybrid model USDF Cloud Data Access Center required resources.</t>
  </si>
  <si>
    <t>|l |r |r |r</t>
  </si>
  <si>
    <t>Resource</t>
  </si>
  <si>
    <t>Year 1</t>
  </si>
  <si>
    <t>Year 2</t>
  </si>
  <si>
    <t>Year 3</t>
  </si>
  <si>
    <t>concurrent users</t>
  </si>
  <si>
    <t>cores</t>
  </si>
  <si>
    <t>per user storage (GB)</t>
  </si>
  <si>
    <t>CoAdds objectstore  (PB)</t>
  </si>
  <si>
    <t>parquet file cache (TB)</t>
  </si>
  <si>
    <t>Total user storage (TB)</t>
  </si>
  <si>
    <t>Table preOps</t>
  </si>
  <si>
    <t>This table builds a ramp for build up at SLAC as USDF. These would be purchases to get initial systems in place for the first year of operations. This is based on the Rome processor price and other construction inputs.</t>
  </si>
  <si>
    <t>|l |r  |r  |r |</t>
  </si>
  <si>
    <t>Year (Pricing $million)</t>
  </si>
  <si>
    <t>Applying price factor (CPU)</t>
  </si>
  <si>
    <t>Qserv (applying factor)</t>
  </si>
  <si>
    <t>Applying price factor (Storage)</t>
  </si>
  <si>
    <t>Hosting Overhead SLAC</t>
  </si>
  <si>
    <t>million</t>
  </si>
  <si>
    <t>Table preCompute</t>
  </si>
  <si>
    <t>Preoperations compute build up at USDF, cores we need to purchase per year.</t>
  </si>
  <si>
    <t>DRP cores (from construction)</t>
  </si>
  <si>
    <t>Alerts cores (from construction)</t>
  </si>
  <si>
    <t>Dev Cores</t>
  </si>
  <si>
    <t>need to check</t>
  </si>
  <si>
    <t>K8S (science platform)</t>
  </si>
  <si>
    <t>Total cores</t>
  </si>
  <si>
    <t>Number of Large Rome USDF</t>
  </si>
  <si>
    <t>Table preStorage</t>
  </si>
  <si>
    <t>Preoperations storage to be purchaed each year</t>
  </si>
  <si>
    <t xml:space="preserve">Year </t>
  </si>
  <si>
    <t>Table opsSummary</t>
  </si>
  <si>
    <t>This table adds the USDF (see \tabref{tab:opsSumUSDF}) and \tabref{tab:opsChileR} to give total operations hardware costs.</t>
  </si>
  <si>
    <t>Year  (all prices Million$)</t>
  </si>
  <si>
    <t>USDF hardware</t>
  </si>
  <si>
    <t>Chile hardware</t>
  </si>
  <si>
    <t>Table opsSumChile</t>
  </si>
  <si>
    <t xml:space="preserve">This table pulls together all the information in a high level summary for Chile operations - in this table Xeon pricing(see \tabref{tab:opsXeonChile}) is used since that is the more expensive but better known option. Price factors, defined in \tabref{tab:Inputs} are applied in all cases - other input values come from \tabref{tab:opsInputs}, \tabref{tab:opsStorageChile}.
</t>
  </si>
  <si>
    <t>Total 12 years</t>
  </si>
  <si>
    <t>Overhead hosting Chile</t>
  </si>
  <si>
    <t>Table opsChileR</t>
  </si>
  <si>
    <t>"This table pulls together all the information in a high level summary 
for Chile operations - in this table Rome pricing(see 
\tabref{tab:opsRomeChile}) is used  Price factors, defined in 
\tabref{tab:Inputs} are applied in all cases - other input values come 
from \tabref{tab:opsInputs}, \tabref{tab:opsStorageChile}.</t>
  </si>
  <si>
    <t>Table opsSumUSDF</t>
  </si>
  <si>
    <t xml:space="preserve">This table pulls together all the information in a high level summary for USDF operations - in this table Rome pricing(see \tabref{tab:opsRomeUSDF}). Price factors, defined in \tabref{tab:Inputs} are applied in all cases - other input values come from \tabref{tab:opsInputs}, \tabref{tab:opsStorageUSDF}.
</t>
  </si>
  <si>
    <t>10-year Total</t>
  </si>
  <si>
    <t>12-year Total</t>
  </si>
  <si>
    <t>Applying price factor - DRP (CPU)</t>
  </si>
  <si>
    <t>Applying price factor - DAC (CPU)</t>
  </si>
  <si>
    <t>Applying price factor - AP (CPU)</t>
  </si>
  <si>
    <t>IN2P3 (40% of compute)</t>
  </si>
  <si>
    <t>UKDF (25% of compute)</t>
  </si>
  <si>
    <t xml:space="preserve">Hosting Overhead SLAC
</t>
  </si>
  <si>
    <t>Copy of Total Budget diff format</t>
  </si>
  <si>
    <t>Table opsInputs</t>
  </si>
  <si>
    <t xml:space="preserve">Various inputs for deriving costs in operations - these drive the costs in \tabref{tab:opsSummary}. This is based on \tabref{tab:opsXeon}, \tabref{tab:opsStorageCost} </t>
  </si>
  <si>
    <t>Core-hours Annual Increase</t>
  </si>
  <si>
    <t>Cores (DRP) Annual increase</t>
  </si>
  <si>
    <t>Cores (DRP) Annual refresh</t>
  </si>
  <si>
    <t>Cores (DRP) Annual purchase</t>
  </si>
  <si>
    <t>Cores (Alerts)</t>
  </si>
  <si>
    <t>Cores (Alerts) Annual refresh</t>
  </si>
  <si>
    <t>Cores (US DAC/Staff)</t>
  </si>
  <si>
    <t>Cores (US DAC/Staff) Annual refresh</t>
  </si>
  <si>
    <t>Cores (US DAC/Staff) Annual purchase</t>
  </si>
  <si>
    <t>Cores (Chilean DAC)</t>
  </si>
  <si>
    <t>Cores (Chilean DAC) Annual refresh</t>
  </si>
  <si>
    <t>Cores (Chilean DAC) Annual purchase</t>
  </si>
  <si>
    <t>Annual Refresh (Fast)</t>
  </si>
  <si>
    <t>Annual Purchase (Fast)</t>
  </si>
  <si>
    <t>Annual Refresh (Normal)</t>
  </si>
  <si>
    <t>Annual Purchase (Normal)</t>
  </si>
  <si>
    <t>Annual Refresh (Latent)</t>
  </si>
  <si>
    <t>Annual Purchase (Latent)</t>
  </si>
  <si>
    <t>Annual Refresh (Fast Chilean DAC)</t>
  </si>
  <si>
    <t>Annual Purchase (Fast Chilean DAC)</t>
  </si>
  <si>
    <t>Annual Refresh (Latent Chilean DAC)</t>
  </si>
  <si>
    <t>Annual Purchase (Latent Chilean DAC)</t>
  </si>
  <si>
    <t>Table opsXeon</t>
  </si>
  <si>
    <t>Implementation with Intel Xeon for full Rubin Observatory</t>
  </si>
  <si>
    <t>Table opsXeonUSDF</t>
  </si>
  <si>
    <t>Implementation with Intel Xeon for USDF</t>
  </si>
  <si>
    <t>Number of Xeon USDF</t>
  </si>
  <si>
    <t>Table opsXeonChile</t>
  </si>
  <si>
    <t>Implementation with Intel Xeon for Chile Compute</t>
  </si>
  <si>
    <t>Number of Xeon Chile</t>
  </si>
  <si>
    <t>Table opsRome</t>
  </si>
  <si>
    <t>Approximate cost of small rome (M$)</t>
  </si>
  <si>
    <t>Approximate cost of large rome (M$)</t>
  </si>
  <si>
    <t>Table opsRomeUSDF</t>
  </si>
  <si>
    <t>Implementation with Rome for USDF</t>
  </si>
  <si>
    <t>Number of Large Rome USDF DRP</t>
  </si>
  <si>
    <t>Number of Large Rome USDF DAC</t>
  </si>
  <si>
    <t>Number of Large Rome USDF AP</t>
  </si>
  <si>
    <t>Table opsRomeChile</t>
  </si>
  <si>
    <t>Implementation with AMD Rome for Chile Compute</t>
  </si>
  <si>
    <t>Number of Large Rome  Chile</t>
  </si>
  <si>
    <t>scaled up x3 ROme is too cheap</t>
  </si>
  <si>
    <t>Table opsStorageCost</t>
  </si>
  <si>
    <t>Total storage cost estimate for operations of Rubin Observatory USDF and CHile</t>
  </si>
  <si>
    <t>Year (all in M$)</t>
  </si>
  <si>
    <t>Total (M$)</t>
  </si>
  <si>
    <t>Table opsStorageChile</t>
  </si>
  <si>
    <t>Table opsStorageUSDF</t>
  </si>
  <si>
    <t>Total storage cost estimate for operations at USDF</t>
  </si>
  <si>
    <t>Fast Storage USDF</t>
  </si>
  <si>
    <t>Normal Storage USDF</t>
  </si>
  <si>
    <t>Latent Storage USDF</t>
  </si>
  <si>
    <t>High Latency Storage USDF</t>
  </si>
  <si>
    <r>
      <rPr>
        <rFont val="Arial"/>
        <b/>
        <color theme="1"/>
      </rPr>
      <t>Table</t>
    </r>
    <r>
      <rPr>
        <rFont val="Arial"/>
        <color theme="1"/>
      </rPr>
      <t xml:space="preserve"> opsOverheadCost</t>
    </r>
  </si>
  <si>
    <t xml:space="preserve">Overheads(NCSA) per year based on number of cores in \tabref{tab:opsInputs} and costs in \tabref{tab:overheads} assuming Xeon density from \tabref{tab:Machines}. </t>
  </si>
  <si>
    <t xml:space="preserve">Cost for hosting nodes </t>
  </si>
  <si>
    <t>Total Ops Overhead (NCSA)</t>
  </si>
  <si>
    <r>
      <rPr>
        <rFont val="Arial"/>
        <b/>
        <color theme="1"/>
      </rPr>
      <t>Table</t>
    </r>
    <r>
      <rPr>
        <rFont val="Arial"/>
        <color theme="1"/>
      </rPr>
      <t xml:space="preserve"> opsOverheadChile</t>
    </r>
  </si>
  <si>
    <t xml:space="preserve">Overheads(Chile) per year based on number of cores in \tabref{tab:opsInputs} and costs in \tabref{tab:overheads} assuming Xeon density from \tabref{tab:Machines}. </t>
  </si>
  <si>
    <t>Total Incremental cores (Chile)</t>
  </si>
  <si>
    <t>Total owned cores (Chile)</t>
  </si>
  <si>
    <t>Compute nodes</t>
  </si>
  <si>
    <t>Qserv nodes</t>
  </si>
  <si>
    <t>Total Nodes</t>
  </si>
  <si>
    <t>Total Compute Racks</t>
  </si>
  <si>
    <t>Total Storage</t>
  </si>
  <si>
    <t>Total Storage Racks</t>
  </si>
  <si>
    <t>Cooling Power Kw</t>
  </si>
  <si>
    <t xml:space="preserve">Computing Power kW
</t>
  </si>
  <si>
    <t>Power Cost</t>
  </si>
  <si>
    <t>Compute rack install costs</t>
  </si>
  <si>
    <t>Storage rack install costs</t>
  </si>
  <si>
    <t>Total Ops Overhead Chile (USD)</t>
  </si>
  <si>
    <t>Table rackCostChile</t>
  </si>
  <si>
    <t>This table details the cost per rack which is added in \tabref{tab:opsOverheadChile}.</t>
  </si>
  <si>
    <t>{ | l | r| r |r|r| l|}</t>
  </si>
  <si>
    <t xml:space="preserve">2020 Rack Component </t>
  </si>
  <si>
    <t>Unit Cost</t>
  </si>
  <si>
    <t>Spine Port</t>
  </si>
  <si>
    <t>2 x Leaf</t>
  </si>
  <si>
    <t>Cisco Nexus 93108TC-EX, + overhead of Spine port</t>
  </si>
  <si>
    <t>2 x PDU</t>
  </si>
  <si>
    <t>Raritan PX3 5085U-N2</t>
  </si>
  <si>
    <t>1 x IPMI</t>
  </si>
  <si>
    <t>Cisco Catalyst 2960-X / Cisco 9200</t>
  </si>
  <si>
    <t>1 x Rack</t>
  </si>
  <si>
    <t>APC AR3357</t>
  </si>
  <si>
    <t>Table powerCostChile</t>
  </si>
  <si>
    <t>Cost is estimated to increase 5-10\% every 2-3 years</t>
  </si>
  <si>
    <t>{ | l | r| r |r|r| r |}</t>
  </si>
  <si>
    <t>Power Cost (CLP)</t>
  </si>
  <si>
    <t>Estimated</t>
  </si>
  <si>
    <t>AMD Rome 7502P</t>
  </si>
  <si>
    <t>50 x AMD Rome 7502P + 10 U2 Nvme</t>
  </si>
  <si>
    <t>25 x AMD Rome 7252 + 10 SSD 4TB</t>
  </si>
  <si>
    <t>Storage SSD (TB)</t>
  </si>
  <si>
    <t>Compute cores</t>
  </si>
  <si>
    <t xml:space="preserve">racks </t>
  </si>
  <si>
    <t>total</t>
  </si>
  <si>
    <t>AMD Rome 7502P 32C/64T - 64GB Ram - 10G Net - 500GB M2 = ~$5,500</t>
  </si>
  <si>
    <t>U2 nvme 2TB = $1300</t>
  </si>
  <si>
    <t>AMD Rome 7252 16C/32T - 256RAM - 10G Net - 500GB M2 = ~$4400</t>
  </si>
  <si>
    <t>SSD Sata3 4TB = $500</t>
  </si>
  <si>
    <t>Table storageSizing</t>
  </si>
  <si>
    <t>Inputs used to calculate storage needs</t>
  </si>
  <si>
    <t>Parameters</t>
  </si>
  <si>
    <t>unit</t>
  </si>
  <si>
    <t>FY2020</t>
  </si>
  <si>
    <t>FY2021</t>
  </si>
  <si>
    <t>FY2022</t>
  </si>
  <si>
    <t>FY2023</t>
  </si>
  <si>
    <t>Notes</t>
  </si>
  <si>
    <t>Objects</t>
  </si>
  <si>
    <t>number</t>
  </si>
  <si>
    <t>from LSE-81, scaled to 2 months for 2022, ComCam ignored</t>
  </si>
  <si>
    <t>Sources</t>
  </si>
  <si>
    <t>ForcedSources</t>
  </si>
  <si>
    <t>Science users</t>
  </si>
  <si>
    <t>users</t>
  </si>
  <si>
    <t>"Stack Club" to 2021, DP users thereafter</t>
  </si>
  <si>
    <t>Storage per science user</t>
  </si>
  <si>
    <t>TB</t>
  </si>
  <si>
    <t>ramp to LSE-81 number; includes oversubscription</t>
  </si>
  <si>
    <t>LSSTCam image size</t>
  </si>
  <si>
    <t>uncompressed, 32 bit, with overscan and corner rafts</t>
  </si>
  <si>
    <t>Raw image compression</t>
  </si>
  <si>
    <t>factor</t>
  </si>
  <si>
    <t>lossless-compressed divided by uncompressed for raws</t>
  </si>
  <si>
    <t>Lossy image compression</t>
  </si>
  <si>
    <t>lossy-compressed divided by lossless-compressed for PVIs</t>
  </si>
  <si>
    <t>LSSTCam/HSC pixel ratio</t>
  </si>
  <si>
    <t>single LSSTCam image divided by all HSC images, /2 for pixel bytes (4 for LSSTCam, 2 for HSC)</t>
  </si>
  <si>
    <t>Observing nights per year</t>
  </si>
  <si>
    <t>nights</t>
  </si>
  <si>
    <t>maximum</t>
  </si>
  <si>
    <t>Visits per night</t>
  </si>
  <si>
    <t>visits</t>
  </si>
  <si>
    <t>Images per visit</t>
  </si>
  <si>
    <t>images</t>
  </si>
  <si>
    <t>Calibration images per day</t>
  </si>
  <si>
    <t>LSSTCam Science images</t>
  </si>
  <si>
    <t>test images until 2 months of science in 2022</t>
  </si>
  <si>
    <t>LSSTCam Test images</t>
  </si>
  <si>
    <t>ramp to science images</t>
  </si>
  <si>
    <t>LSSTCam Engineering images</t>
  </si>
  <si>
    <t>decreasing ramp</t>
  </si>
  <si>
    <t>LSSTCam Calibration images</t>
  </si>
  <si>
    <t>estimates based on science and test images; actual for 2023</t>
  </si>
  <si>
    <t>Number of coadd data products</t>
  </si>
  <si>
    <t>deep and good-seeing</t>
  </si>
  <si>
    <t>Object table row size</t>
  </si>
  <si>
    <t>bytes</t>
  </si>
  <si>
    <t>from LDM-141</t>
  </si>
  <si>
    <t>Object_Extra tables row size</t>
  </si>
  <si>
    <t>Source table row size</t>
  </si>
  <si>
    <t>ForcedSource table row size</t>
  </si>
  <si>
    <t>Qserv replication factor</t>
  </si>
  <si>
    <t>Table datasetSizing</t>
  </si>
  <si>
    <t>Inputs on dataset sizes used to calculate storage needs</t>
  </si>
  <si>
    <t>Dataset Sizing</t>
  </si>
  <si>
    <t>HSC RC2 Area</t>
  </si>
  <si>
    <t>deg^2</t>
  </si>
  <si>
    <t>HSC SSP PDR2 Area</t>
  </si>
  <si>
    <t>DESC DC2 Area</t>
  </si>
  <si>
    <t>LSSTCam Area</t>
  </si>
  <si>
    <t>APDB</t>
  </si>
  <si>
    <t>4.5/57K TB per visit; 1 year retention; 6 months in 2020</t>
  </si>
  <si>
    <t>HSC RC2 Input Images</t>
  </si>
  <si>
    <t>432 visits * 103 CCDs * 18.2 MB uncompressed</t>
  </si>
  <si>
    <t>HSC RC2 Output Images</t>
  </si>
  <si>
    <t>lossless-compressed, not including warps</t>
  </si>
  <si>
    <t>HSC RC2 Output Coadd Images</t>
  </si>
  <si>
    <t>lossless-compressed</t>
  </si>
  <si>
    <t>HSC RC2 Output Catalogs</t>
  </si>
  <si>
    <t>HSC SSP PDR2 Input Images</t>
  </si>
  <si>
    <t>2564358 CCDs * 18.2 MB uncompressed (3 * PDR1)</t>
  </si>
  <si>
    <t>DESC DC2 Input Images</t>
  </si>
  <si>
    <t>300 sq deg, 10 year depth</t>
  </si>
  <si>
    <t>Object store datasets:</t>
  </si>
  <si>
    <t>LSSTCam Raw Images</t>
  </si>
  <si>
    <t>compressed, immediate object store</t>
  </si>
  <si>
    <t>LSSTCam Output Coadd Images</t>
  </si>
  <si>
    <t>lossless-compressed, immediate object store</t>
  </si>
  <si>
    <t>Normal disk datasets:</t>
  </si>
  <si>
    <t>Precursor Input Images</t>
  </si>
  <si>
    <t>HSC RC2, HSC PDR2, DC2</t>
  </si>
  <si>
    <t>Precursor Output Images</t>
  </si>
  <si>
    <t>monthly RC2 and DC2 subset plus biannual PDR</t>
  </si>
  <si>
    <t>Precursor Output Parquet</t>
  </si>
  <si>
    <t>LSSTCam Output Images</t>
  </si>
  <si>
    <t>lossless-compressed, moves to object store</t>
  </si>
  <si>
    <t>LSSTCam Output Parquet</t>
  </si>
  <si>
    <t>moves to object store</t>
  </si>
  <si>
    <t>Scratch</t>
  </si>
  <si>
    <t>10% of output images</t>
  </si>
  <si>
    <t>Qserv Czar/Object</t>
  </si>
  <si>
    <t>based on row sizes and counts</t>
  </si>
  <si>
    <t>Qserv Database</t>
  </si>
  <si>
    <t>based on Parquet for preliminary; based on row sizes and counts</t>
  </si>
  <si>
    <t>Science User Home</t>
  </si>
  <si>
    <t>Other/Misc</t>
  </si>
  <si>
    <t>20% of total</t>
  </si>
  <si>
    <t>Table storageFloor</t>
  </si>
  <si>
    <t xml:space="preserve">On floor LDF storage estimates based on \tabref{tab:datasetSizing} and \tabref{tab:storageSizing}
</t>
  </si>
  <si>
    <t>Storage Sizing (on the floor)</t>
  </si>
  <si>
    <t>accumulates with time</t>
  </si>
  <si>
    <t>Total Fast</t>
  </si>
  <si>
    <t>SSD, sum of previous two rows</t>
  </si>
  <si>
    <t>Total Normal</t>
  </si>
  <si>
    <t>enterprise-grade SATA</t>
  </si>
  <si>
    <t>Total Qserv Storage</t>
  </si>
  <si>
    <t>local consumer-grade SATA, accumulates with time</t>
  </si>
  <si>
    <t>lossy-compressed, accumulates with time</t>
  </si>
  <si>
    <t>Total Object Store</t>
  </si>
  <si>
    <t>consumer-grade SATA, sum of previous four rows</t>
  </si>
  <si>
    <t>All Data Products/Backup</t>
  </si>
  <si>
    <t>normal storage minus Qserv/scratch, accumulates with time</t>
  </si>
  <si>
    <t>All Object Store-Only Products</t>
  </si>
  <si>
    <t>Total Tape</t>
  </si>
  <si>
    <t>sum of previous three rows</t>
  </si>
  <si>
    <t>Table chileStorage</t>
  </si>
  <si>
    <t>On floor Chile storage estimates for Base Data Center</t>
  </si>
  <si>
    <t>Chile Storage (on the floor)</t>
  </si>
  <si>
    <t>Fast</t>
  </si>
  <si>
    <t>SSD</t>
  </si>
  <si>
    <t>Normal</t>
  </si>
  <si>
    <t>Enterprise-grade SATA</t>
  </si>
  <si>
    <t>Qserv Storage</t>
  </si>
  <si>
    <t>Local consumer-grade SATA</t>
  </si>
  <si>
    <t>Object Store</t>
  </si>
  <si>
    <t>Tape</t>
  </si>
  <si>
    <t>Table computeSizing</t>
  </si>
  <si>
    <t>Inputs used to calculate compute needs</t>
  </si>
  <si>
    <t>units</t>
  </si>
  <si>
    <t>HSC PDR1 Input Images</t>
  </si>
  <si>
    <t>7238 visits of 104 CCDs</t>
  </si>
  <si>
    <t>HSC PDR1 small-memory compute</t>
  </si>
  <si>
    <t>core-hours</t>
  </si>
  <si>
    <t>measured on E5-2680 v3 @ 2.50GHz</t>
  </si>
  <si>
    <t>HSC PDR1 high-memory compute</t>
  </si>
  <si>
    <t>Small-memory DRP algorithm ratio</t>
  </si>
  <si>
    <t>image differencing, etc.</t>
  </si>
  <si>
    <t>High-memory DRP algorithm ratio</t>
  </si>
  <si>
    <t>stackfit, etc.</t>
  </si>
  <si>
    <t>DRP compute per TB</t>
  </si>
  <si>
    <t>core-hours/TB</t>
  </si>
  <si>
    <t>Percent DRP on high-memory</t>
  </si>
  <si>
    <t>ap_pipe single-core sec/CCD</t>
  </si>
  <si>
    <t>core-sec/CCD</t>
  </si>
  <si>
    <t>measured 83 on DECam 2Kx4K CCD</t>
  </si>
  <si>
    <t>Additional AP steps</t>
  </si>
  <si>
    <t>DCR, real_bogus, etc.</t>
  </si>
  <si>
    <t>AP compute per visit</t>
  </si>
  <si>
    <t>core-hours/visit</t>
  </si>
  <si>
    <t>Qserv data/node</t>
  </si>
  <si>
    <t>1 GB/sec for 12 hours</t>
  </si>
  <si>
    <t>Table drpAndAlertSizing</t>
  </si>
  <si>
    <t>Compute needs for DRP and AP</t>
  </si>
  <si>
    <t>Data Release Production</t>
  </si>
  <si>
    <t>FY20</t>
  </si>
  <si>
    <t>FY21</t>
  </si>
  <si>
    <t>FY22</t>
  </si>
  <si>
    <t>FY23</t>
  </si>
  <si>
    <t>Precursor input size</t>
  </si>
  <si>
    <t>LSSTCam visit input size</t>
  </si>
  <si>
    <t>raw images / images/visit, lossless-compressed</t>
  </si>
  <si>
    <t>Precursor compute</t>
  </si>
  <si>
    <t>LSSTCam compute</t>
  </si>
  <si>
    <t>Total DRP compute</t>
  </si>
  <si>
    <t>Alert Production</t>
  </si>
  <si>
    <t>AP cores</t>
  </si>
  <si>
    <t>minimum necessary to keep up</t>
  </si>
  <si>
    <t>Table lspSizing</t>
  </si>
  <si>
    <t>Compute needs for the Science Platform instances</t>
  </si>
  <si>
    <t>US DAC</t>
  </si>
  <si>
    <t>LSP cores</t>
  </si>
  <si>
    <t>10% of DRP, over a year</t>
  </si>
  <si>
    <t>nodes</t>
  </si>
  <si>
    <t>LSP cores/science user</t>
  </si>
  <si>
    <t>cores/user</t>
  </si>
  <si>
    <t>includes oversubscription</t>
  </si>
  <si>
    <t>Chilean DAC</t>
  </si>
  <si>
    <t>20% of US DAC</t>
  </si>
  <si>
    <t>Staff LSP</t>
  </si>
  <si>
    <t>10% of US DAC</t>
  </si>
  <si>
    <t>Table desComparison</t>
  </si>
  <si>
    <t>Comparison with DES compute</t>
  </si>
  <si>
    <t>DES Comparison</t>
  </si>
  <si>
    <t>Input data size</t>
  </si>
  <si>
    <t>Single-frame data size</t>
  </si>
  <si>
    <t>Single-frame processing</t>
  </si>
  <si>
    <t>Xeon E5-2680 v4 2.4GHz</t>
  </si>
  <si>
    <t>Coadd processing</t>
  </si>
  <si>
    <t>core-hours/deg^2</t>
  </si>
  <si>
    <t>MOF/SOF measurement</t>
  </si>
  <si>
    <t>AMD 6276 (313 GFLOPS/32 scheduled cores) and Xeon E5-2680 v4</t>
  </si>
  <si>
    <t>Sky area</t>
  </si>
  <si>
    <t>DES compute per TB</t>
  </si>
  <si>
    <t>Table storageSizingOps</t>
  </si>
  <si>
    <t>Inputs used to calculate storage needs during Operations</t>
  </si>
  <si>
    <t>LOY1</t>
  </si>
  <si>
    <t>LOY2</t>
  </si>
  <si>
    <t>LOY3</t>
  </si>
  <si>
    <t>LOY4</t>
  </si>
  <si>
    <t>LOY5</t>
  </si>
  <si>
    <t>LOY6</t>
  </si>
  <si>
    <t>LOY7</t>
  </si>
  <si>
    <t>LOY8</t>
  </si>
  <si>
    <t>LOY9</t>
  </si>
  <si>
    <t>LOY10</t>
  </si>
  <si>
    <t>from LSE-81</t>
  </si>
  <si>
    <t>ramp to LSE-81 number</t>
  </si>
  <si>
    <t>ramp starting at LSE-81 number; includes oversubscription</t>
  </si>
  <si>
    <t>1% of science</t>
  </si>
  <si>
    <t>Table datasetSizingOps</t>
  </si>
  <si>
    <t>Dataset sizes used to calculate storage needs during Operations</t>
  </si>
  <si>
    <t>Incremental LSSTCam Raw Images</t>
  </si>
  <si>
    <t>Sims output</t>
  </si>
  <si>
    <t>Output of RPF simulations</t>
  </si>
  <si>
    <t>Table storageFloorOps</t>
  </si>
  <si>
    <t xml:space="preserve">On floor LDF storage estimates during Operations
</t>
  </si>
  <si>
    <t>LDF Storage (on the floor)</t>
  </si>
  <si>
    <t>Enterprise SATA</t>
  </si>
  <si>
    <t>2 DRs loaded at any time, plus one being written</t>
  </si>
  <si>
    <t>1 DR loaded at any time, plus one being written</t>
  </si>
  <si>
    <t>Table chileStorageOps</t>
  </si>
  <si>
    <t xml:space="preserve">On floor Chile storage estimates during Operations
</t>
  </si>
  <si>
    <t>was qservc42 .. now % user home and scratch</t>
  </si>
  <si>
    <t>no longer</t>
  </si>
  <si>
    <t>was Object store above now cache 20% of it enogh for raws +</t>
  </si>
  <si>
    <t>Table dp2Sizing</t>
  </si>
  <si>
    <t>Guess at size of DP2</t>
  </si>
  <si>
    <t>count</t>
  </si>
  <si>
    <t>from storageSizingOps</t>
  </si>
  <si>
    <t>slightly reduced from ops 1000</t>
  </si>
  <si>
    <t>One day commisioning images</t>
  </si>
  <si>
    <t>no compression</t>
  </si>
  <si>
    <t>First photon</t>
  </si>
  <si>
    <t>date</t>
  </si>
  <si>
    <t>SV start</t>
  </si>
  <si>
    <t>ORR</t>
  </si>
  <si>
    <t>Scheduled commisioning</t>
  </si>
  <si>
    <t>days</t>
  </si>
  <si>
    <t>Scheduled SV</t>
  </si>
  <si>
    <t>Potential image volume</t>
  </si>
  <si>
    <t>SV image volume</t>
  </si>
  <si>
    <t>Table scaledSize</t>
  </si>
  <si>
    <t>Scaled from fraction of Year1</t>
  </si>
  <si>
    <t>SV</t>
  </si>
  <si>
    <t>All commisoning</t>
  </si>
  <si>
    <t>Table computeSizingOps</t>
  </si>
  <si>
    <t>Compute needs during Operations</t>
  </si>
  <si>
    <t>DRP compute</t>
  </si>
  <si>
    <t>Qserv data per node</t>
  </si>
  <si>
    <t>TB/node</t>
  </si>
  <si>
    <t>staff Qserv nodes included</t>
  </si>
  <si>
    <t>need 3rd DR for loading</t>
  </si>
  <si>
    <t xml:space="preserve">USDF:Harware </t>
  </si>
  <si>
    <t>Back to $</t>
  </si>
  <si>
    <t>USDF preops Hardware</t>
  </si>
  <si>
    <t>back to $</t>
  </si>
  <si>
    <t>CHILE:Hardware</t>
  </si>
  <si>
    <t>Cloud</t>
  </si>
  <si>
    <t>racks</t>
  </si>
  <si>
    <t xml:space="preserve">Chile Alerts </t>
  </si>
  <si>
    <t>cp line scratch</t>
  </si>
  <si>
    <t>Table chileDac</t>
  </si>
  <si>
    <t>This table summarizes the compute and storage estimates usde to cost the Chilean DAC.</t>
  </si>
  <si>
    <t>Table sizesImages</t>
  </si>
  <si>
    <t>This table summarizes some key data voluems used in DMTN-135. All Sizes TB.</t>
  </si>
  <si>
    <t>DIff DAC Latent to Raw+Coadd</t>
  </si>
  <si>
    <t>Table backipNet</t>
  </si>
  <si>
    <t>Some calculations based on the charge for Google between Santiago and Iowa .</t>
  </si>
  <si>
    <t>Volume</t>
  </si>
  <si>
    <t>Latency</t>
  </si>
  <si>
    <t>GB Charge ($)</t>
  </si>
  <si>
    <t>130ms</t>
  </si>
  <si>
    <t>TB Charge ($)</t>
  </si>
  <si>
    <t>1 day/night (TB inc EFD + )</t>
  </si>
  <si>
    <t>Approx days needed</t>
  </si>
  <si>
    <t>USDF storage over time</t>
  </si>
  <si>
    <t>Chilean storage over time</t>
  </si>
  <si>
    <t>Data release size</t>
  </si>
  <si>
    <t>Qserv</t>
  </si>
  <si>
    <t>DRP Core Hours</t>
  </si>
  <si>
    <t>Incremental raw images</t>
  </si>
  <si>
    <t>Raw images</t>
  </si>
  <si>
    <t>Processed Images</t>
  </si>
  <si>
    <t>Co-added Images</t>
  </si>
  <si>
    <t>Parquet Tables</t>
  </si>
  <si>
    <t>Qserv Czar</t>
  </si>
  <si>
    <t>Catalog Database</t>
  </si>
  <si>
    <t>Y1</t>
  </si>
  <si>
    <t>Y2</t>
  </si>
  <si>
    <t>Y3</t>
  </si>
  <si>
    <t>Y4</t>
  </si>
  <si>
    <t>Y5</t>
  </si>
  <si>
    <t>Y6</t>
  </si>
  <si>
    <t>Y7</t>
  </si>
  <si>
    <t>Y8</t>
  </si>
  <si>
    <t>Y9</t>
  </si>
  <si>
    <t>Y10</t>
  </si>
  <si>
    <t>Table idfneeds</t>
  </si>
  <si>
    <t>Compute and storage needs for IDF.</t>
  </si>
  <si>
    <t>Approximate number Xeon Nodes</t>
  </si>
  <si>
    <t>Total Storage (TB)</t>
  </si>
  <si>
    <t>Table idfmachines</t>
  </si>
  <si>
    <t>Machine types used in sizing model.</t>
  </si>
  <si>
    <t>Table idfstorage</t>
  </si>
  <si>
    <t>Storage types used in sizing model.</t>
  </si>
  <si>
    <t>Table idfcloud</t>
  </si>
  <si>
    <t>Storage needs for IDF taking into account cloud availability and services. This elimiated in house high latency storage and reduces some redundancy.</t>
  </si>
  <si>
    <t>Fast (SSD) Storage (TB)</t>
  </si>
  <si>
    <t>This is APDB (high IOPS) plus certain Qserv tables (also high IOPS).</t>
  </si>
  <si>
    <t>Cold Object Store (TB)</t>
  </si>
  <si>
    <t>This is LSSTCam raw images, accumulating over the years, plus precursor raw images and precursor output catalogs that are expected to be retrieved only for loading into Qserv or other databases.</t>
  </si>
  <si>
    <t>Infrequent Object Store (TB)</t>
  </si>
  <si>
    <t>This is precursor and LSSTCam output PVIs, lossless-compressed.  Infrequent access by pipelines.</t>
  </si>
  <si>
    <t>Object Store (S3) (TB)</t>
  </si>
  <si>
    <t>This is precursor and LSSTCam output catalogs plus coadds and lossy-compressed PVIs.  It is anticipated that these will be used frequently for science.</t>
  </si>
  <si>
    <t>Normal node attached FS (TB)</t>
  </si>
  <si>
    <t>This is Qserv catalog storage, 1 copy instead of 3, plus scratch space (with a nominal number for 2020 and 2021).</t>
  </si>
  <si>
    <t>Normal shared FS  (TB)</t>
  </si>
  <si>
    <t>This is science user home directory storage.</t>
  </si>
  <si>
    <t>Total (TB)</t>
  </si>
  <si>
    <t>Table foa22</t>
  </si>
  <si>
    <t xml:space="preserve">This table outlines the estimated needs pre LOY1 </t>
  </si>
  <si>
    <t>DRP campaign length (days)</t>
  </si>
  <si>
    <t>Transfer time for Coadds to Chile (days)</t>
  </si>
  <si>
    <t>DESC transfer time (days)</t>
  </si>
  <si>
    <t>IDACS transfer (days)</t>
  </si>
  <si>
    <t>Units</t>
  </si>
  <si>
    <t>taken from row 35 in Ops Storage tab</t>
  </si>
  <si>
    <t>taken from row 36 in Ops Storage tab</t>
  </si>
  <si>
    <t>Total DRP output</t>
  </si>
  <si>
    <t>sum of Ops Storage 38, 39 - Images, Parquet</t>
  </si>
  <si>
    <t>Catalog size (TB)</t>
  </si>
  <si>
    <t>Total DRP ave Rate</t>
  </si>
  <si>
    <t>Gb/s</t>
  </si>
  <si>
    <t>Assumes even production and transfer daily over campaign length</t>
  </si>
  <si>
    <t>Raw Image Max Rate Chile to SLAC</t>
  </si>
  <si>
    <t>2 images in 6 secs to SLAC. 15 GB/image. Compressed.</t>
  </si>
  <si>
    <t>EFD ave rate Chile to SLAC</t>
  </si>
  <si>
    <t>said to be 1 Gb/s</t>
  </si>
  <si>
    <t>Raw Image SLAC to CC</t>
  </si>
  <si>
    <t>assume sending daily, but spread out over full day, not just during observing</t>
  </si>
  <si>
    <t>DRP output SLAC to CC</t>
  </si>
  <si>
    <t>25% at SLAC</t>
  </si>
  <si>
    <t>DRP output UK to CC</t>
  </si>
  <si>
    <t>25% done in UK.</t>
  </si>
  <si>
    <t>DRP output CC to UK</t>
  </si>
  <si>
    <t>UK keeps a full copy</t>
  </si>
  <si>
    <t>DRP output CC to SLAC</t>
  </si>
  <si>
    <t>SLAC keeps full copy</t>
  </si>
  <si>
    <t>Raw image CC to UK</t>
  </si>
  <si>
    <t>25% of raw images</t>
  </si>
  <si>
    <t>Alerts SLAC to Brokers</t>
  </si>
  <si>
    <t>fixed 15 Gb/s for now</t>
  </si>
  <si>
    <t>10% 1-yr SLAC to DESC/NERSC</t>
  </si>
  <si>
    <t>use CoAdds as proxy for which 10% image data to transfer (calibrated images?)</t>
  </si>
  <si>
    <t>Catalogs SLAC to IDACS</t>
  </si>
  <si>
    <t>Qserv db, Ops Storage row 43 - 1 full IDAC (Canada?). After DRP.</t>
  </si>
  <si>
    <t>Catalogs CC to IDACS</t>
  </si>
  <si>
    <t>Qserv db, 150 TB lite catalog - 11 Lite IDACS. After DRP.</t>
  </si>
  <si>
    <t>Catalogs CC to UK</t>
  </si>
  <si>
    <t>Qserv db, Ops Storage row 43 - full IDAC. After DRP.</t>
  </si>
  <si>
    <t>CoAdd output SLAC to Chile</t>
  </si>
  <si>
    <t>assume a period of time after DRP to transfer to Chile. Not clear they have room for it all.</t>
  </si>
  <si>
    <t>CoAdd output SLAC to CC</t>
  </si>
  <si>
    <t>CoAdd output CC to UK</t>
  </si>
  <si>
    <t>CoAdd output CC to SLAC</t>
  </si>
  <si>
    <t>CoAdd output UK to CC</t>
  </si>
  <si>
    <t>Trans-Atlantic traffic eastbound</t>
  </si>
  <si>
    <t>Trans-Atlantic traffic westbound</t>
  </si>
  <si>
    <t>Max rate into SLAC</t>
  </si>
  <si>
    <t>images from Chile + max(DRP from CC, CoAdds+Catalogs from CC)</t>
  </si>
  <si>
    <t>Max rate out of SLAC</t>
  </si>
  <si>
    <t>images to CC + brokers + DESC + max(DRP to CC, CoAdds+Catalogs to CC, IDAC)</t>
  </si>
  <si>
    <t>Max rate into CC</t>
  </si>
  <si>
    <t>images from SLAC + max(DRP from UK+SLAC,CoAdds+Catalogs from UK+SLAC)</t>
  </si>
  <si>
    <t>Max rate out of CC</t>
  </si>
  <si>
    <t>max(DRP to UK+SLAC,CoAdds+Catalogs to UK, lite IDACs)</t>
  </si>
  <si>
    <t>Max rate into UK</t>
  </si>
  <si>
    <t>Max rate out of UK</t>
  </si>
  <si>
    <r>
      <rPr>
        <rFont val="Arial"/>
        <color theme="1"/>
      </rPr>
      <t xml:space="preserve"> </t>
    </r>
    <r>
      <rPr>
        <rFont val="Arial"/>
        <b/>
        <color theme="1"/>
      </rPr>
      <t>Caveats</t>
    </r>
    <r>
      <rPr>
        <rFont val="Arial"/>
        <color theme="1"/>
      </rPr>
      <t>: CoAdds transfers appear to dominate in early years. Depends on time span for transfer.</t>
    </r>
  </si>
  <si>
    <r>
      <rPr>
        <rFont val="Arial"/>
        <b/>
        <color theme="1"/>
      </rPr>
      <t>General notes</t>
    </r>
    <r>
      <rPr>
        <rFont val="Arial"/>
        <color theme="1"/>
      </rPr>
      <t>: CC is hub for DRP in this model.</t>
    </r>
  </si>
</sst>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
    <numFmt numFmtId="165" formatCode="&quot;$&quot;#,##0"/>
    <numFmt numFmtId="166" formatCode="&quot;$&quot;#,##0.00"/>
    <numFmt numFmtId="167" formatCode="0.0"/>
    <numFmt numFmtId="168" formatCode="[$$]#,##0.00"/>
    <numFmt numFmtId="169" formatCode="#,##0.0"/>
    <numFmt numFmtId="170" formatCode="0.0E+00"/>
    <numFmt numFmtId="171" formatCode="0.0000"/>
    <numFmt numFmtId="172" formatCode="0.000"/>
    <numFmt numFmtId="173" formatCode="0.00000"/>
    <numFmt numFmtId="174" formatCode="0E+00"/>
    <numFmt numFmtId="175" formatCode="yyyy-mm-dd"/>
  </numFmts>
  <fonts count="21">
    <font>
      <sz val="10.0"/>
      <color rgb="FF000000"/>
      <name val="Arial"/>
      <scheme val="minor"/>
    </font>
    <font>
      <b/>
      <color theme="1"/>
      <name val="Arial"/>
      <scheme val="minor"/>
    </font>
    <font>
      <color theme="1"/>
      <name val="Arial"/>
      <scheme val="minor"/>
    </font>
    <font>
      <b/>
      <color theme="1"/>
      <name val="Arial"/>
    </font>
    <font>
      <color theme="1"/>
      <name val="Arial"/>
    </font>
    <font>
      <u/>
      <color rgb="FF0000FF"/>
    </font>
    <font>
      <sz val="12.0"/>
      <color rgb="FF000000"/>
      <name val="Calibri"/>
    </font>
    <font>
      <sz val="10.0"/>
      <color theme="1"/>
      <name val="Arial"/>
      <scheme val="minor"/>
    </font>
    <font>
      <color rgb="FF000000"/>
      <name val="'Arial'"/>
    </font>
    <font>
      <b/>
      <color rgb="FF000000"/>
      <name val="'Arial'"/>
    </font>
    <font>
      <sz val="11.0"/>
      <color rgb="FF1D1C1D"/>
      <name val="Arial"/>
    </font>
    <font>
      <sz val="11.0"/>
      <color rgb="FF000000"/>
      <name val="Inconsolata"/>
    </font>
    <font>
      <sz val="11.0"/>
      <color rgb="FF7E3794"/>
      <name val="Inconsolata"/>
    </font>
    <font>
      <sz val="11.0"/>
      <color rgb="FFF7981D"/>
      <name val="Inconsolata"/>
    </font>
    <font>
      <sz val="11.0"/>
      <color rgb="FF7E3794"/>
      <name val="Arial"/>
      <scheme val="minor"/>
    </font>
    <font>
      <b/>
      <sz val="11.0"/>
      <color rgb="FF7E3794"/>
      <name val="Arial"/>
      <scheme val="minor"/>
    </font>
    <font>
      <sz val="10.0"/>
      <color rgb="FF000000"/>
      <name val="Arial"/>
    </font>
    <font>
      <b/>
      <sz val="12.0"/>
      <color rgb="FFFFFFFF"/>
      <name val="Arial"/>
    </font>
    <font>
      <color rgb="FF000000"/>
      <name val="Arial"/>
    </font>
    <font>
      <b/>
      <color rgb="FFFFFFFF"/>
      <name val="Arial"/>
      <scheme val="minor"/>
    </font>
    <font>
      <color rgb="FF333333"/>
      <name val="Arial"/>
      <scheme val="minor"/>
    </font>
  </fonts>
  <fills count="12">
    <fill>
      <patternFill patternType="none"/>
    </fill>
    <fill>
      <patternFill patternType="lightGray"/>
    </fill>
    <fill>
      <patternFill patternType="solid">
        <fgColor rgb="FFCFE2F3"/>
        <bgColor rgb="FFCFE2F3"/>
      </patternFill>
    </fill>
    <fill>
      <patternFill patternType="solid">
        <fgColor rgb="FFF8F8F8"/>
        <bgColor rgb="FFF8F8F8"/>
      </patternFill>
    </fill>
    <fill>
      <patternFill patternType="solid">
        <fgColor rgb="FFFFFFFF"/>
        <bgColor rgb="FFFFFFFF"/>
      </patternFill>
    </fill>
    <fill>
      <patternFill patternType="solid">
        <fgColor rgb="FFE6B8AF"/>
        <bgColor rgb="FFE6B8AF"/>
      </patternFill>
    </fill>
    <fill>
      <patternFill patternType="solid">
        <fgColor rgb="FF4285F4"/>
        <bgColor rgb="FF4285F4"/>
      </patternFill>
    </fill>
    <fill>
      <patternFill patternType="solid">
        <fgColor rgb="FFEFEFEF"/>
        <bgColor rgb="FFEFEFEF"/>
      </patternFill>
    </fill>
    <fill>
      <patternFill patternType="solid">
        <fgColor rgb="FFFFFF00"/>
        <bgColor rgb="FFFFFF00"/>
      </patternFill>
    </fill>
    <fill>
      <patternFill patternType="solid">
        <fgColor rgb="FF6D9EEB"/>
        <bgColor rgb="FF6D9EEB"/>
      </patternFill>
    </fill>
    <fill>
      <patternFill patternType="solid">
        <fgColor rgb="FFC9DAF8"/>
        <bgColor rgb="FFC9DAF8"/>
      </patternFill>
    </fill>
    <fill>
      <patternFill patternType="solid">
        <fgColor rgb="FFFFF2CC"/>
        <bgColor rgb="FFFFF2CC"/>
      </patternFill>
    </fill>
  </fills>
  <borders count="4">
    <border/>
    <border>
      <left style="thin">
        <color rgb="FFCCCCCC"/>
      </left>
      <right style="thin">
        <color rgb="FFCCCCCC"/>
      </right>
      <top style="thin">
        <color rgb="FFCCCCCC"/>
      </top>
      <bottom style="thin">
        <color rgb="FFCCCCCC"/>
      </bottom>
    </border>
    <border>
      <right style="thin">
        <color rgb="FF000000"/>
      </right>
    </border>
    <border>
      <right/>
    </border>
  </borders>
  <cellStyleXfs count="1">
    <xf borderId="0" fillId="0" fontId="0" numFmtId="0" applyAlignment="1" applyFont="1"/>
  </cellStyleXfs>
  <cellXfs count="18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vertical="bottom"/>
    </xf>
    <xf borderId="0" fillId="0" fontId="3" numFmtId="164" xfId="0" applyAlignment="1" applyFont="1" applyNumberFormat="1">
      <alignment horizontal="right" readingOrder="0" vertical="bottom"/>
    </xf>
    <xf borderId="0" fillId="0" fontId="3" numFmtId="164" xfId="0" applyAlignment="1" applyFont="1" applyNumberFormat="1">
      <alignment horizontal="right" vertical="bottom"/>
    </xf>
    <xf borderId="0" fillId="0" fontId="2" numFmtId="165" xfId="0" applyAlignment="1" applyFont="1" applyNumberFormat="1">
      <alignment readingOrder="0"/>
    </xf>
    <xf borderId="0" fillId="0" fontId="1" numFmtId="165" xfId="0" applyAlignment="1" applyFont="1" applyNumberFormat="1">
      <alignment readingOrder="0"/>
    </xf>
    <xf borderId="0" fillId="0" fontId="2" numFmtId="10" xfId="0" applyAlignment="1" applyFont="1" applyNumberFormat="1">
      <alignment readingOrder="0"/>
    </xf>
    <xf borderId="0" fillId="0" fontId="2" numFmtId="9" xfId="0" applyAlignment="1" applyFont="1" applyNumberFormat="1">
      <alignment readingOrder="0"/>
    </xf>
    <xf borderId="0" fillId="0" fontId="4" numFmtId="0" xfId="0" applyAlignment="1" applyFont="1">
      <alignment horizontal="right" vertical="bottom"/>
    </xf>
    <xf borderId="0" fillId="0" fontId="2" numFmtId="166" xfId="0" applyAlignment="1" applyFont="1" applyNumberFormat="1">
      <alignment readingOrder="0"/>
    </xf>
    <xf borderId="0" fillId="0" fontId="5" numFmtId="0" xfId="0" applyAlignment="1" applyFont="1">
      <alignment readingOrder="0"/>
    </xf>
    <xf borderId="0" fillId="0" fontId="4" numFmtId="0" xfId="0" applyAlignment="1" applyFont="1">
      <alignment horizontal="right" vertical="bottom"/>
    </xf>
    <xf borderId="0" fillId="0" fontId="6" numFmtId="0" xfId="0" applyAlignment="1" applyFont="1">
      <alignment readingOrder="0"/>
    </xf>
    <xf borderId="0" fillId="2" fontId="3" numFmtId="166" xfId="0" applyAlignment="1" applyFill="1" applyFont="1" applyNumberFormat="1">
      <alignment horizontal="right" vertical="bottom"/>
    </xf>
    <xf borderId="0" fillId="2" fontId="3" numFmtId="166" xfId="0" applyAlignment="1" applyFont="1" applyNumberFormat="1">
      <alignment horizontal="right" readingOrder="0" vertical="bottom"/>
    </xf>
    <xf borderId="0" fillId="0" fontId="4" numFmtId="0" xfId="0" applyAlignment="1" applyFont="1">
      <alignment readingOrder="0" vertical="bottom"/>
    </xf>
    <xf borderId="0" fillId="0" fontId="4" numFmtId="164" xfId="0" applyAlignment="1" applyFont="1" applyNumberFormat="1">
      <alignment horizontal="right" readingOrder="0" vertical="bottom"/>
    </xf>
    <xf borderId="0" fillId="0" fontId="4" numFmtId="0" xfId="0" applyAlignment="1" applyFont="1">
      <alignment horizontal="right" readingOrder="0" vertical="bottom"/>
    </xf>
    <xf borderId="0" fillId="0" fontId="4" numFmtId="0" xfId="0" applyAlignment="1" applyFont="1">
      <alignment vertical="bottom"/>
    </xf>
    <xf borderId="0" fillId="0" fontId="4" numFmtId="11" xfId="0" applyAlignment="1" applyFont="1" applyNumberFormat="1">
      <alignment horizontal="right" readingOrder="0" vertical="bottom"/>
    </xf>
    <xf borderId="0" fillId="0" fontId="4" numFmtId="11" xfId="0" applyAlignment="1" applyFont="1" applyNumberFormat="1">
      <alignment horizontal="right" vertical="bottom"/>
    </xf>
    <xf borderId="0" fillId="0" fontId="4" numFmtId="167" xfId="0" applyAlignment="1" applyFont="1" applyNumberFormat="1">
      <alignment horizontal="right" readingOrder="0" vertical="bottom"/>
    </xf>
    <xf borderId="0" fillId="0" fontId="4" numFmtId="3" xfId="0" applyAlignment="1" applyFont="1" applyNumberFormat="1">
      <alignment horizontal="right" vertical="bottom"/>
    </xf>
    <xf borderId="0" fillId="0" fontId="2" numFmtId="0" xfId="0" applyFont="1"/>
    <xf borderId="0" fillId="0" fontId="4" numFmtId="3" xfId="0" applyAlignment="1" applyFont="1" applyNumberFormat="1">
      <alignment horizontal="right" readingOrder="0" vertical="bottom"/>
    </xf>
    <xf borderId="0" fillId="0" fontId="4" numFmtId="1" xfId="0" applyAlignment="1" applyFont="1" applyNumberFormat="1">
      <alignment horizontal="right" vertical="bottom"/>
    </xf>
    <xf borderId="0" fillId="0" fontId="4" numFmtId="1" xfId="0" applyAlignment="1" applyFont="1" applyNumberFormat="1">
      <alignment horizontal="right" vertical="bottom"/>
    </xf>
    <xf borderId="0" fillId="0" fontId="2" numFmtId="1" xfId="0" applyFont="1" applyNumberFormat="1"/>
    <xf borderId="0" fillId="0" fontId="2" numFmtId="1" xfId="0" applyAlignment="1" applyFont="1" applyNumberFormat="1">
      <alignment readingOrder="0"/>
    </xf>
    <xf borderId="0" fillId="0" fontId="2" numFmtId="3" xfId="0" applyFont="1" applyNumberFormat="1"/>
    <xf borderId="0" fillId="0" fontId="2" numFmtId="3" xfId="0" applyAlignment="1" applyFont="1" applyNumberFormat="1">
      <alignment readingOrder="0"/>
    </xf>
    <xf borderId="0" fillId="0" fontId="2" numFmtId="0" xfId="0" applyFont="1"/>
    <xf borderId="0" fillId="0" fontId="1" numFmtId="3" xfId="0" applyFont="1" applyNumberFormat="1"/>
    <xf borderId="0" fillId="0" fontId="1" numFmtId="3" xfId="0" applyAlignment="1" applyFont="1" applyNumberFormat="1">
      <alignment readingOrder="0"/>
    </xf>
    <xf borderId="0" fillId="0" fontId="2" numFmtId="9" xfId="0" applyFont="1" applyNumberFormat="1"/>
    <xf borderId="0" fillId="0" fontId="2" numFmtId="0" xfId="0" applyAlignment="1" applyFont="1">
      <alignment readingOrder="0"/>
    </xf>
    <xf borderId="0" fillId="0" fontId="1" numFmtId="164" xfId="0" applyAlignment="1" applyFont="1" applyNumberFormat="1">
      <alignment readingOrder="0"/>
    </xf>
    <xf borderId="0" fillId="0" fontId="1" numFmtId="166" xfId="0" applyFont="1" applyNumberFormat="1"/>
    <xf borderId="0" fillId="0" fontId="2" numFmtId="4" xfId="0" applyFont="1" applyNumberFormat="1"/>
    <xf borderId="0" fillId="0" fontId="2" numFmtId="166" xfId="0" applyFont="1" applyNumberFormat="1"/>
    <xf borderId="0" fillId="0" fontId="7" numFmtId="166" xfId="0" applyAlignment="1" applyFont="1" applyNumberFormat="1">
      <alignment readingOrder="0"/>
    </xf>
    <xf borderId="0" fillId="0" fontId="8" numFmtId="0" xfId="0" applyAlignment="1" applyFont="1">
      <alignment readingOrder="0"/>
    </xf>
    <xf borderId="0" fillId="0" fontId="8" numFmtId="3" xfId="0" applyAlignment="1" applyFont="1" applyNumberFormat="1">
      <alignment readingOrder="0"/>
    </xf>
    <xf borderId="0" fillId="0" fontId="8" numFmtId="165" xfId="0" applyAlignment="1" applyFont="1" applyNumberFormat="1">
      <alignment readingOrder="0"/>
    </xf>
    <xf borderId="0" fillId="0" fontId="8" numFmtId="166" xfId="0" applyAlignment="1" applyFont="1" applyNumberFormat="1">
      <alignment readingOrder="0"/>
    </xf>
    <xf borderId="0" fillId="0" fontId="9" numFmtId="166" xfId="0" applyAlignment="1" applyFont="1" applyNumberFormat="1">
      <alignment readingOrder="0"/>
    </xf>
    <xf borderId="0" fillId="0" fontId="2" numFmtId="165" xfId="0" applyFont="1" applyNumberFormat="1"/>
    <xf borderId="0" fillId="3" fontId="10" numFmtId="0" xfId="0" applyAlignment="1" applyFill="1" applyFont="1">
      <alignment horizontal="left" readingOrder="0"/>
    </xf>
    <xf borderId="0" fillId="4" fontId="11" numFmtId="0" xfId="0" applyAlignment="1" applyFill="1" applyFont="1">
      <alignment readingOrder="0"/>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vertical="bottom" wrapText="1"/>
    </xf>
    <xf borderId="0" fillId="0" fontId="2" numFmtId="0" xfId="0" applyAlignment="1" applyFont="1">
      <alignment readingOrder="0" shrinkToFit="0" wrapText="1"/>
    </xf>
    <xf borderId="0" fillId="0" fontId="1" numFmtId="165" xfId="0" applyFont="1" applyNumberFormat="1"/>
    <xf borderId="0" fillId="0" fontId="2" numFmtId="166" xfId="0" applyFont="1" applyNumberFormat="1"/>
    <xf borderId="1" fillId="0" fontId="1" numFmtId="0" xfId="0" applyAlignment="1" applyBorder="1" applyFont="1">
      <alignment readingOrder="0" shrinkToFit="0" wrapText="1"/>
    </xf>
    <xf borderId="1" fillId="0" fontId="1"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readingOrder="0"/>
    </xf>
    <xf borderId="0" fillId="0" fontId="2" numFmtId="0" xfId="0" applyAlignment="1" applyFont="1">
      <alignment readingOrder="0" shrinkToFit="0" wrapText="0"/>
    </xf>
    <xf borderId="0" fillId="0" fontId="0" numFmtId="0" xfId="0" applyFont="1"/>
    <xf borderId="0" fillId="0" fontId="2" numFmtId="166" xfId="0" applyAlignment="1" applyFont="1" applyNumberFormat="1">
      <alignment readingOrder="0"/>
    </xf>
    <xf borderId="0" fillId="0" fontId="0" numFmtId="3" xfId="0" applyFont="1" applyNumberFormat="1"/>
    <xf borderId="2" fillId="0" fontId="2" numFmtId="0" xfId="0" applyBorder="1" applyFont="1"/>
    <xf borderId="0" fillId="0" fontId="3" numFmtId="0" xfId="0" applyAlignment="1" applyFont="1">
      <alignment readingOrder="0" vertical="bottom"/>
    </xf>
    <xf borderId="2" fillId="0" fontId="3" numFmtId="164" xfId="0" applyAlignment="1" applyBorder="1" applyFont="1" applyNumberFormat="1">
      <alignment horizontal="right" readingOrder="0" vertical="bottom"/>
    </xf>
    <xf borderId="0" fillId="0" fontId="1" numFmtId="166" xfId="0" applyAlignment="1" applyFont="1" applyNumberFormat="1">
      <alignment readingOrder="0"/>
    </xf>
    <xf borderId="2" fillId="0" fontId="2" numFmtId="166" xfId="0" applyBorder="1" applyFont="1" applyNumberFormat="1"/>
    <xf borderId="0" fillId="0" fontId="1" numFmtId="168" xfId="0" applyAlignment="1" applyFont="1" applyNumberFormat="1">
      <alignment readingOrder="0"/>
    </xf>
    <xf borderId="2" fillId="0" fontId="1" numFmtId="168" xfId="0" applyAlignment="1" applyBorder="1" applyFont="1" applyNumberFormat="1">
      <alignment readingOrder="0"/>
    </xf>
    <xf borderId="0" fillId="0" fontId="2" numFmtId="168" xfId="0" applyFont="1" applyNumberFormat="1"/>
    <xf borderId="0" fillId="0" fontId="7" numFmtId="166" xfId="0" applyAlignment="1" applyFont="1" applyNumberFormat="1">
      <alignment readingOrder="0"/>
    </xf>
    <xf borderId="2" fillId="0" fontId="7" numFmtId="166" xfId="0" applyAlignment="1" applyBorder="1" applyFont="1" applyNumberFormat="1">
      <alignment readingOrder="0"/>
    </xf>
    <xf borderId="0" fillId="5" fontId="3" numFmtId="0" xfId="0" applyAlignment="1" applyFill="1" applyFont="1">
      <alignment horizontal="right" vertical="bottom"/>
    </xf>
    <xf borderId="0" fillId="5" fontId="3" numFmtId="0" xfId="0" applyAlignment="1" applyFont="1">
      <alignment horizontal="right" readingOrder="0" vertical="bottom"/>
    </xf>
    <xf borderId="0" fillId="5" fontId="4" numFmtId="166" xfId="0" applyAlignment="1" applyFont="1" applyNumberFormat="1">
      <alignment horizontal="right" vertical="bottom"/>
    </xf>
    <xf borderId="2" fillId="0" fontId="2" numFmtId="166" xfId="0" applyAlignment="1" applyBorder="1" applyFont="1" applyNumberFormat="1">
      <alignment readingOrder="0"/>
    </xf>
    <xf borderId="2" fillId="0" fontId="1" numFmtId="166" xfId="0" applyAlignment="1" applyBorder="1" applyFont="1" applyNumberFormat="1">
      <alignment readingOrder="0"/>
    </xf>
    <xf borderId="0" fillId="5" fontId="3" numFmtId="166" xfId="0" applyAlignment="1" applyFont="1" applyNumberFormat="1">
      <alignment horizontal="right" vertical="bottom"/>
    </xf>
    <xf borderId="0" fillId="0" fontId="4" numFmtId="166" xfId="0" applyAlignment="1" applyFont="1" applyNumberFormat="1">
      <alignment horizontal="right" vertical="bottom"/>
    </xf>
    <xf borderId="0" fillId="0" fontId="2" numFmtId="169" xfId="0" applyAlignment="1" applyFont="1" applyNumberFormat="1">
      <alignment readingOrder="0"/>
    </xf>
    <xf borderId="0" fillId="0" fontId="3" numFmtId="165" xfId="0" applyAlignment="1" applyFont="1" applyNumberFormat="1">
      <alignment horizontal="right" readingOrder="0" vertical="bottom"/>
    </xf>
    <xf borderId="2" fillId="0" fontId="1" numFmtId="0" xfId="0" applyAlignment="1" applyBorder="1" applyFont="1">
      <alignment readingOrder="0"/>
    </xf>
    <xf borderId="0" fillId="0" fontId="2" numFmtId="170" xfId="0" applyFont="1" applyNumberFormat="1"/>
    <xf borderId="2" fillId="0" fontId="2" numFmtId="170" xfId="0" applyBorder="1" applyFont="1" applyNumberFormat="1"/>
    <xf borderId="2" fillId="0" fontId="4" numFmtId="3" xfId="0" applyAlignment="1" applyBorder="1" applyFont="1" applyNumberFormat="1">
      <alignment horizontal="right" readingOrder="0" vertical="bottom"/>
    </xf>
    <xf borderId="0" fillId="4" fontId="12" numFmtId="3" xfId="0" applyFont="1" applyNumberFormat="1"/>
    <xf borderId="2" fillId="0" fontId="2" numFmtId="3" xfId="0" applyBorder="1" applyFont="1" applyNumberFormat="1"/>
    <xf borderId="0" fillId="4" fontId="13" numFmtId="0" xfId="0" applyFont="1"/>
    <xf borderId="2" fillId="0" fontId="2" numFmtId="3" xfId="0" applyAlignment="1" applyBorder="1" applyFont="1" applyNumberFormat="1">
      <alignment readingOrder="0"/>
    </xf>
    <xf borderId="2" fillId="0" fontId="2" numFmtId="1" xfId="0" applyBorder="1" applyFont="1" applyNumberFormat="1"/>
    <xf borderId="2" fillId="0" fontId="1" numFmtId="166" xfId="0" applyBorder="1" applyFont="1" applyNumberFormat="1"/>
    <xf borderId="2" fillId="0" fontId="2" numFmtId="4" xfId="0" applyBorder="1" applyFont="1" applyNumberFormat="1"/>
    <xf borderId="0" fillId="4" fontId="11" numFmtId="3" xfId="0" applyFont="1" applyNumberFormat="1"/>
    <xf borderId="2" fillId="0" fontId="1" numFmtId="0" xfId="0" applyBorder="1" applyFont="1"/>
    <xf borderId="2" fillId="0" fontId="8" numFmtId="3" xfId="0" applyAlignment="1" applyBorder="1" applyFont="1" applyNumberFormat="1">
      <alignment readingOrder="0"/>
    </xf>
    <xf borderId="2" fillId="0" fontId="8" numFmtId="165" xfId="0" applyAlignment="1" applyBorder="1" applyFont="1" applyNumberFormat="1">
      <alignment readingOrder="0"/>
    </xf>
    <xf borderId="2" fillId="0" fontId="8" numFmtId="0" xfId="0" applyAlignment="1" applyBorder="1" applyFont="1">
      <alignment readingOrder="0"/>
    </xf>
    <xf borderId="0" fillId="0" fontId="9" numFmtId="165" xfId="0" applyAlignment="1" applyFont="1" applyNumberFormat="1">
      <alignment readingOrder="0"/>
    </xf>
    <xf borderId="2" fillId="0" fontId="9" numFmtId="165" xfId="0" applyAlignment="1" applyBorder="1" applyFont="1" applyNumberFormat="1">
      <alignment readingOrder="0"/>
    </xf>
    <xf borderId="2" fillId="0" fontId="2" numFmtId="0" xfId="0" applyAlignment="1" applyBorder="1" applyFont="1">
      <alignment readingOrder="0"/>
    </xf>
    <xf borderId="0" fillId="0" fontId="2" numFmtId="165" xfId="0" applyFont="1" applyNumberFormat="1"/>
    <xf borderId="0" fillId="0" fontId="4" numFmtId="166" xfId="0" applyAlignment="1" applyFont="1" applyNumberFormat="1">
      <alignment horizontal="right" vertical="bottom"/>
    </xf>
    <xf borderId="0" fillId="0" fontId="4" numFmtId="166" xfId="0" applyAlignment="1" applyFont="1" applyNumberFormat="1">
      <alignment vertical="bottom"/>
    </xf>
    <xf borderId="2" fillId="0" fontId="4" numFmtId="166" xfId="0" applyAlignment="1" applyBorder="1" applyFont="1" applyNumberFormat="1">
      <alignment vertical="bottom"/>
    </xf>
    <xf borderId="0" fillId="0" fontId="4" numFmtId="165" xfId="0" applyAlignment="1" applyFont="1" applyNumberFormat="1">
      <alignment vertical="bottom"/>
    </xf>
    <xf borderId="2" fillId="0" fontId="4" numFmtId="0" xfId="0" applyAlignment="1" applyBorder="1" applyFont="1">
      <alignment vertical="bottom"/>
    </xf>
    <xf borderId="0" fillId="0" fontId="4" numFmtId="0" xfId="0" applyAlignment="1" applyFont="1">
      <alignment shrinkToFit="0" vertical="bottom" wrapText="0"/>
    </xf>
    <xf borderId="0" fillId="0" fontId="3" numFmtId="166" xfId="0" applyAlignment="1" applyFont="1" applyNumberFormat="1">
      <alignment horizontal="right" vertical="bottom"/>
    </xf>
    <xf borderId="0" fillId="0" fontId="14" numFmtId="0" xfId="0" applyAlignment="1" applyFont="1">
      <alignment readingOrder="0"/>
    </xf>
    <xf borderId="0" fillId="0" fontId="15" numFmtId="166" xfId="0" applyAlignment="1" applyFont="1" applyNumberFormat="1">
      <alignment readingOrder="0"/>
    </xf>
    <xf borderId="0" fillId="0" fontId="16" numFmtId="0" xfId="0" applyAlignment="1" applyFont="1">
      <alignment readingOrder="0" vertical="bottom"/>
    </xf>
    <xf borderId="0" fillId="0" fontId="16" numFmtId="0" xfId="0" applyAlignment="1" applyFont="1">
      <alignment vertical="bottom"/>
    </xf>
    <xf borderId="0" fillId="0" fontId="0" numFmtId="0" xfId="0" applyFont="1"/>
    <xf borderId="0" fillId="6" fontId="17" numFmtId="0" xfId="0" applyAlignment="1" applyFill="1" applyFont="1">
      <alignment vertical="bottom"/>
    </xf>
    <xf borderId="0" fillId="6" fontId="17" numFmtId="0" xfId="0" applyAlignment="1" applyFont="1">
      <alignment readingOrder="0" vertical="bottom"/>
    </xf>
    <xf borderId="0" fillId="7" fontId="4" numFmtId="0" xfId="0" applyAlignment="1" applyFill="1" applyFont="1">
      <alignment vertical="bottom"/>
    </xf>
    <xf borderId="0" fillId="0" fontId="4" numFmtId="1" xfId="0" applyAlignment="1" applyFont="1" applyNumberFormat="1">
      <alignment vertical="bottom"/>
    </xf>
    <xf borderId="0" fillId="7" fontId="4" numFmtId="0" xfId="0" applyAlignment="1" applyFont="1">
      <alignment readingOrder="0" vertical="bottom"/>
    </xf>
    <xf borderId="0" fillId="0" fontId="4" numFmtId="171" xfId="0" applyAlignment="1" applyFont="1" applyNumberFormat="1">
      <alignment horizontal="right" vertical="bottom"/>
    </xf>
    <xf borderId="0" fillId="0" fontId="4" numFmtId="172" xfId="0" applyAlignment="1" applyFont="1" applyNumberFormat="1">
      <alignment horizontal="right" readingOrder="0" vertical="bottom"/>
    </xf>
    <xf borderId="0" fillId="0" fontId="4" numFmtId="173" xfId="0" applyAlignment="1" applyFont="1" applyNumberFormat="1">
      <alignment vertical="bottom"/>
    </xf>
    <xf borderId="0" fillId="0" fontId="4" numFmtId="167" xfId="0" applyAlignment="1" applyFont="1" applyNumberFormat="1">
      <alignment readingOrder="0" vertical="bottom"/>
    </xf>
    <xf borderId="0" fillId="0" fontId="4" numFmtId="167" xfId="0" applyAlignment="1" applyFont="1" applyNumberFormat="1">
      <alignment vertical="bottom"/>
    </xf>
    <xf borderId="0" fillId="0" fontId="4" numFmtId="1" xfId="0" applyAlignment="1" applyFont="1" applyNumberFormat="1">
      <alignment horizontal="right" readingOrder="0" vertical="bottom"/>
    </xf>
    <xf borderId="0" fillId="0" fontId="4" numFmtId="167" xfId="0" applyAlignment="1" applyFont="1" applyNumberFormat="1">
      <alignment horizontal="right" vertical="bottom"/>
    </xf>
    <xf borderId="3" fillId="7" fontId="4" numFmtId="0" xfId="0" applyAlignment="1" applyBorder="1" applyFont="1">
      <alignment shrinkToFit="0" vertical="bottom" wrapText="0"/>
    </xf>
    <xf borderId="0" fillId="0" fontId="4" numFmtId="1" xfId="0" applyAlignment="1" applyFont="1" applyNumberFormat="1">
      <alignment readingOrder="0" vertical="bottom"/>
    </xf>
    <xf borderId="0" fillId="8" fontId="4" numFmtId="0" xfId="0" applyAlignment="1" applyFill="1" applyFont="1">
      <alignment readingOrder="0" vertical="bottom"/>
    </xf>
    <xf borderId="0" fillId="8" fontId="4" numFmtId="0" xfId="0" applyAlignment="1" applyFont="1">
      <alignment vertical="bottom"/>
    </xf>
    <xf borderId="0" fillId="8" fontId="4" numFmtId="1" xfId="0" applyAlignment="1" applyFont="1" applyNumberFormat="1">
      <alignment horizontal="right" vertical="bottom"/>
    </xf>
    <xf borderId="0" fillId="4" fontId="18" numFmtId="0" xfId="0" applyAlignment="1" applyFont="1">
      <alignment horizontal="left" readingOrder="0"/>
    </xf>
    <xf borderId="0" fillId="8" fontId="4" numFmtId="1" xfId="0" applyAlignment="1" applyFont="1" applyNumberFormat="1">
      <alignment horizontal="right" readingOrder="0" vertical="bottom"/>
    </xf>
    <xf borderId="0" fillId="8" fontId="4" numFmtId="0" xfId="0" applyAlignment="1" applyFont="1">
      <alignment horizontal="right" vertical="bottom"/>
    </xf>
    <xf borderId="0" fillId="0" fontId="4" numFmtId="169" xfId="0" applyAlignment="1" applyFont="1" applyNumberFormat="1">
      <alignment horizontal="right" readingOrder="0" vertical="bottom"/>
    </xf>
    <xf borderId="0" fillId="0" fontId="4" numFmtId="170" xfId="0" applyAlignment="1" applyFont="1" applyNumberFormat="1">
      <alignment horizontal="right" vertical="bottom"/>
    </xf>
    <xf borderId="0" fillId="8" fontId="4" numFmtId="9" xfId="0" applyAlignment="1" applyFont="1" applyNumberFormat="1">
      <alignment horizontal="right" vertical="bottom"/>
    </xf>
    <xf borderId="0" fillId="0" fontId="4" numFmtId="174" xfId="0" applyAlignment="1" applyFont="1" applyNumberFormat="1">
      <alignment vertical="bottom"/>
    </xf>
    <xf borderId="0" fillId="8" fontId="4" numFmtId="170" xfId="0" applyAlignment="1" applyFont="1" applyNumberFormat="1">
      <alignment horizontal="right" vertical="bottom"/>
    </xf>
    <xf borderId="0" fillId="8" fontId="4" numFmtId="3" xfId="0" applyAlignment="1" applyFont="1" applyNumberFormat="1">
      <alignment horizontal="right" vertical="bottom"/>
    </xf>
    <xf borderId="0" fillId="0" fontId="4" numFmtId="3" xfId="0" applyAlignment="1" applyFont="1" applyNumberFormat="1">
      <alignment vertical="bottom"/>
    </xf>
    <xf borderId="0" fillId="7" fontId="4" numFmtId="0" xfId="0" applyAlignment="1" applyFont="1">
      <alignment vertical="bottom"/>
    </xf>
    <xf borderId="0" fillId="0" fontId="4" numFmtId="4" xfId="0" applyAlignment="1" applyFont="1" applyNumberFormat="1">
      <alignment horizontal="right" vertical="bottom"/>
    </xf>
    <xf borderId="0" fillId="6" fontId="17" numFmtId="11" xfId="0" applyAlignment="1" applyFont="1" applyNumberFormat="1">
      <alignment readingOrder="0" vertical="bottom"/>
    </xf>
    <xf borderId="0" fillId="8" fontId="4" numFmtId="170" xfId="0" applyAlignment="1" applyFont="1" applyNumberFormat="1">
      <alignment vertical="bottom"/>
    </xf>
    <xf borderId="0" fillId="8" fontId="4" numFmtId="3" xfId="0" applyAlignment="1" applyFont="1" applyNumberFormat="1">
      <alignment vertical="bottom"/>
    </xf>
    <xf borderId="0" fillId="0" fontId="4" numFmtId="172" xfId="0" applyAlignment="1" applyFont="1" applyNumberFormat="1">
      <alignment horizontal="right" vertical="bottom"/>
    </xf>
    <xf borderId="0" fillId="0" fontId="4" numFmtId="169" xfId="0" applyAlignment="1" applyFont="1" applyNumberFormat="1">
      <alignment horizontal="right" vertical="bottom"/>
    </xf>
    <xf borderId="0" fillId="0" fontId="4" numFmtId="11" xfId="0" applyAlignment="1" applyFont="1" applyNumberFormat="1">
      <alignment readingOrder="0" vertical="bottom"/>
    </xf>
    <xf borderId="0" fillId="0" fontId="2" numFmtId="11" xfId="0" applyAlignment="1" applyFont="1" applyNumberFormat="1">
      <alignment readingOrder="0"/>
    </xf>
    <xf borderId="0" fillId="0" fontId="4" numFmtId="171" xfId="0" applyAlignment="1" applyFont="1" applyNumberFormat="1">
      <alignment vertical="bottom"/>
    </xf>
    <xf borderId="0" fillId="0" fontId="4" numFmtId="172" xfId="0" applyAlignment="1" applyFont="1" applyNumberFormat="1">
      <alignment vertical="bottom"/>
    </xf>
    <xf borderId="3" fillId="7" fontId="4" numFmtId="0" xfId="0" applyAlignment="1" applyBorder="1" applyFont="1">
      <alignment readingOrder="0" shrinkToFit="0" vertical="bottom" wrapText="0"/>
    </xf>
    <xf borderId="0" fillId="8" fontId="2" numFmtId="0" xfId="0" applyAlignment="1" applyFont="1">
      <alignment readingOrder="0"/>
    </xf>
    <xf borderId="0" fillId="8" fontId="2" numFmtId="0" xfId="0" applyFont="1"/>
    <xf borderId="0" fillId="8" fontId="2" numFmtId="1" xfId="0" applyFont="1" applyNumberFormat="1"/>
    <xf borderId="0" fillId="9" fontId="19" numFmtId="0" xfId="0" applyAlignment="1" applyFill="1" applyFont="1">
      <alignment readingOrder="0"/>
    </xf>
    <xf borderId="0" fillId="9" fontId="19" numFmtId="0" xfId="0" applyFont="1"/>
    <xf borderId="0" fillId="0" fontId="2" numFmtId="171" xfId="0" applyFont="1" applyNumberFormat="1"/>
    <xf borderId="0" fillId="0" fontId="2" numFmtId="2" xfId="0" applyFont="1" applyNumberFormat="1"/>
    <xf borderId="0" fillId="0" fontId="2" numFmtId="175" xfId="0" applyAlignment="1" applyFont="1" applyNumberFormat="1">
      <alignment readingOrder="0"/>
    </xf>
    <xf borderId="0" fillId="0" fontId="2" numFmtId="10" xfId="0" applyFont="1" applyNumberFormat="1"/>
    <xf borderId="0" fillId="6" fontId="17" numFmtId="3" xfId="0" applyAlignment="1" applyFont="1" applyNumberFormat="1">
      <alignment readingOrder="0" vertical="bottom"/>
    </xf>
    <xf borderId="0" fillId="0" fontId="4" numFmtId="3" xfId="0" applyAlignment="1" applyFont="1" applyNumberFormat="1">
      <alignment readingOrder="0" vertical="bottom"/>
    </xf>
    <xf borderId="0" fillId="0" fontId="4" numFmtId="169" xfId="0" applyAlignment="1" applyFont="1" applyNumberFormat="1">
      <alignment vertical="bottom"/>
    </xf>
    <xf borderId="0" fillId="8" fontId="2" numFmtId="3" xfId="0" applyFont="1" applyNumberFormat="1"/>
    <xf borderId="0" fillId="0" fontId="2" numFmtId="164" xfId="0" applyFont="1" applyNumberFormat="1"/>
    <xf borderId="0" fillId="0" fontId="2" numFmtId="168" xfId="0" applyAlignment="1" applyFont="1" applyNumberFormat="1">
      <alignment readingOrder="0"/>
    </xf>
    <xf borderId="0" fillId="0" fontId="20" numFmtId="0" xfId="0" applyAlignment="1" applyFont="1">
      <alignment readingOrder="0"/>
    </xf>
    <xf borderId="0" fillId="2" fontId="2" numFmtId="0" xfId="0" applyAlignment="1" applyFont="1">
      <alignment readingOrder="0"/>
    </xf>
    <xf borderId="0" fillId="10" fontId="2" numFmtId="0" xfId="0" applyAlignment="1" applyFill="1" applyFont="1">
      <alignment readingOrder="0"/>
    </xf>
    <xf borderId="0" fillId="11" fontId="2" numFmtId="0" xfId="0" applyAlignment="1" applyFill="1" applyFont="1">
      <alignment readingOrder="0"/>
    </xf>
    <xf borderId="0" fillId="2" fontId="2" numFmtId="1" xfId="0" applyFont="1" applyNumberFormat="1"/>
    <xf borderId="0" fillId="11" fontId="2" numFmtId="0" xfId="0" applyFont="1"/>
    <xf borderId="0" fillId="10" fontId="2" numFmtId="0" xfId="0" applyFont="1"/>
    <xf borderId="0" fillId="10" fontId="2" numFmtId="1" xfId="0" applyFont="1" applyNumberFormat="1"/>
    <xf borderId="0" fillId="11" fontId="2" numFmtId="1" xfId="0" applyFont="1" applyNumberFormat="1"/>
    <xf borderId="0" fillId="0" fontId="2" numFmtId="11" xfId="0" applyFont="1" applyNumberFormat="1"/>
    <xf borderId="0" fillId="0" fontId="2" numFmtId="167" xfId="0" applyFont="1" applyNumberFormat="1"/>
    <xf borderId="0" fillId="0" fontId="2" numFmtId="1" xfId="0" applyAlignment="1" applyFont="1" applyNumberFormat="1">
      <alignment horizontal="right"/>
    </xf>
    <xf borderId="0" fillId="0" fontId="2" numFmtId="1" xfId="0" applyFont="1" applyNumberFormat="1"/>
    <xf borderId="0" fillId="0" fontId="2" numFmtId="169" xfId="0" applyFont="1" applyNumberFormat="1"/>
    <xf borderId="0" fillId="0" fontId="2" numFmtId="169" xfId="0" applyAlignment="1" applyFont="1" applyNumberFormat="1">
      <alignment readingOrder="0"/>
    </xf>
    <xf borderId="0" fillId="4" fontId="11" numFmtId="169" xfId="0" applyFont="1" applyNumberFormat="1"/>
    <xf borderId="0" fillId="0" fontId="17"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Charts!$B$2</c:f>
            </c:strRef>
          </c:tx>
          <c:spPr>
            <a:ln cmpd="sng">
              <a:solidFill>
                <a:srgbClr val="4285F4"/>
              </a:solidFill>
            </a:ln>
          </c:spPr>
          <c:marker>
            <c:symbol val="none"/>
          </c:marker>
          <c:cat>
            <c:strRef>
              <c:f>Charts!$A$3:$A$15</c:f>
            </c:strRef>
          </c:cat>
          <c:val>
            <c:numRef>
              <c:f>Charts!$B$3:$B$15</c:f>
              <c:numCache/>
            </c:numRef>
          </c:val>
          <c:smooth val="1"/>
        </c:ser>
        <c:ser>
          <c:idx val="1"/>
          <c:order val="1"/>
          <c:tx>
            <c:strRef>
              <c:f>Charts!$C$2</c:f>
            </c:strRef>
          </c:tx>
          <c:spPr>
            <a:ln cmpd="sng">
              <a:solidFill>
                <a:srgbClr val="EA4335"/>
              </a:solidFill>
            </a:ln>
          </c:spPr>
          <c:marker>
            <c:symbol val="none"/>
          </c:marker>
          <c:cat>
            <c:strRef>
              <c:f>Charts!$A$3:$A$15</c:f>
            </c:strRef>
          </c:cat>
          <c:val>
            <c:numRef>
              <c:f>Charts!$C$3:$C$15</c:f>
              <c:numCache/>
            </c:numRef>
          </c:val>
          <c:smooth val="1"/>
        </c:ser>
        <c:ser>
          <c:idx val="2"/>
          <c:order val="2"/>
          <c:tx>
            <c:strRef>
              <c:f>Charts!$D$2</c:f>
            </c:strRef>
          </c:tx>
          <c:spPr>
            <a:ln cmpd="sng">
              <a:solidFill>
                <a:srgbClr val="FBBC04"/>
              </a:solidFill>
            </a:ln>
          </c:spPr>
          <c:marker>
            <c:symbol val="none"/>
          </c:marker>
          <c:cat>
            <c:strRef>
              <c:f>Charts!$A$3:$A$15</c:f>
            </c:strRef>
          </c:cat>
          <c:val>
            <c:numRef>
              <c:f>Charts!$D$3:$D$15</c:f>
              <c:numCache/>
            </c:numRef>
          </c:val>
          <c:smooth val="1"/>
        </c:ser>
        <c:ser>
          <c:idx val="3"/>
          <c:order val="3"/>
          <c:tx>
            <c:strRef>
              <c:f>Charts!$E$2</c:f>
            </c:strRef>
          </c:tx>
          <c:spPr>
            <a:ln cmpd="sng">
              <a:solidFill>
                <a:srgbClr val="34A853"/>
              </a:solidFill>
            </a:ln>
          </c:spPr>
          <c:marker>
            <c:symbol val="none"/>
          </c:marker>
          <c:cat>
            <c:strRef>
              <c:f>Charts!$A$3:$A$15</c:f>
            </c:strRef>
          </c:cat>
          <c:val>
            <c:numRef>
              <c:f>Charts!$E$3:$E$15</c:f>
              <c:numCache/>
            </c:numRef>
          </c:val>
          <c:smooth val="1"/>
        </c:ser>
        <c:ser>
          <c:idx val="4"/>
          <c:order val="4"/>
          <c:tx>
            <c:strRef>
              <c:f>Charts!$F$2</c:f>
            </c:strRef>
          </c:tx>
          <c:spPr>
            <a:ln cmpd="sng">
              <a:solidFill>
                <a:srgbClr val="FF6D01"/>
              </a:solidFill>
            </a:ln>
          </c:spPr>
          <c:marker>
            <c:symbol val="none"/>
          </c:marker>
          <c:cat>
            <c:strRef>
              <c:f>Charts!$A$3:$A$15</c:f>
            </c:strRef>
          </c:cat>
          <c:val>
            <c:numRef>
              <c:f>Charts!$F$3:$F$15</c:f>
              <c:numCache/>
            </c:numRef>
          </c:val>
          <c:smooth val="1"/>
        </c:ser>
        <c:axId val="1464770579"/>
        <c:axId val="1934080133"/>
      </c:lineChart>
      <c:catAx>
        <c:axId val="14647705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934080133"/>
      </c:catAx>
      <c:valAx>
        <c:axId val="1934080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Petabytes</a:t>
                </a:r>
              </a:p>
            </c:rich>
          </c:tx>
          <c:overlay val="0"/>
        </c:title>
        <c:numFmt formatCode="General" sourceLinked="0"/>
        <c:majorTickMark val="none"/>
        <c:minorTickMark val="none"/>
        <c:tickLblPos val="nextTo"/>
        <c:spPr>
          <a:ln/>
        </c:spPr>
        <c:txPr>
          <a:bodyPr/>
          <a:lstStyle/>
          <a:p>
            <a:pPr lvl="0">
              <a:defRPr b="0" sz="1400">
                <a:solidFill>
                  <a:srgbClr val="000000"/>
                </a:solidFill>
                <a:latin typeface="+mn-lt"/>
              </a:defRPr>
            </a:pPr>
          </a:p>
        </c:txPr>
        <c:crossAx val="1464770579"/>
      </c:valAx>
    </c:plotArea>
    <c:legend>
      <c:legendPos val="r"/>
      <c:overlay val="0"/>
      <c:txPr>
        <a:bodyPr/>
        <a:lstStyle/>
        <a:p>
          <a:pPr lvl="0">
            <a:defRPr b="0" sz="140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Charts!$G$2</c:f>
            </c:strRef>
          </c:tx>
          <c:spPr>
            <a:ln cmpd="sng">
              <a:solidFill>
                <a:srgbClr val="4285F4"/>
              </a:solidFill>
            </a:ln>
          </c:spPr>
          <c:marker>
            <c:symbol val="none"/>
          </c:marker>
          <c:cat>
            <c:strRef>
              <c:f>Charts!$A$3:$A$15</c:f>
            </c:strRef>
          </c:cat>
          <c:val>
            <c:numRef>
              <c:f>Charts!$G$3:$G$15</c:f>
              <c:numCache/>
            </c:numRef>
          </c:val>
          <c:smooth val="1"/>
        </c:ser>
        <c:ser>
          <c:idx val="1"/>
          <c:order val="1"/>
          <c:tx>
            <c:strRef>
              <c:f>Charts!$H$2</c:f>
            </c:strRef>
          </c:tx>
          <c:spPr>
            <a:ln cmpd="sng">
              <a:solidFill>
                <a:srgbClr val="FBBC04"/>
              </a:solidFill>
            </a:ln>
          </c:spPr>
          <c:marker>
            <c:symbol val="none"/>
          </c:marker>
          <c:cat>
            <c:strRef>
              <c:f>Charts!$A$3:$A$15</c:f>
            </c:strRef>
          </c:cat>
          <c:val>
            <c:numRef>
              <c:f>Charts!$H$3:$H$15</c:f>
              <c:numCache/>
            </c:numRef>
          </c:val>
          <c:smooth val="1"/>
        </c:ser>
        <c:ser>
          <c:idx val="2"/>
          <c:order val="2"/>
          <c:tx>
            <c:strRef>
              <c:f>Charts!$I$2</c:f>
            </c:strRef>
          </c:tx>
          <c:spPr>
            <a:ln cmpd="sng">
              <a:solidFill>
                <a:srgbClr val="34A853"/>
              </a:solidFill>
            </a:ln>
          </c:spPr>
          <c:marker>
            <c:symbol val="none"/>
          </c:marker>
          <c:cat>
            <c:strRef>
              <c:f>Charts!$A$3:$A$15</c:f>
            </c:strRef>
          </c:cat>
          <c:val>
            <c:numRef>
              <c:f>Charts!$I$3:$I$15</c:f>
              <c:numCache/>
            </c:numRef>
          </c:val>
          <c:smooth val="1"/>
        </c:ser>
        <c:axId val="844402657"/>
        <c:axId val="2027031315"/>
      </c:lineChart>
      <c:catAx>
        <c:axId val="844402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2027031315"/>
      </c:catAx>
      <c:valAx>
        <c:axId val="2027031315"/>
        <c:scaling>
          <c:orientation val="minMax"/>
          <c:max val="1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Petabytes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844402657"/>
      </c:valAx>
    </c:plotArea>
    <c:legend>
      <c:legendPos val="r"/>
      <c:overlay val="0"/>
      <c:txPr>
        <a:bodyPr/>
        <a:lstStyle/>
        <a:p>
          <a:pPr lvl="0">
            <a:defRPr b="0" sz="140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Charts!$J$2</c:f>
            </c:strRef>
          </c:tx>
          <c:spPr>
            <a:ln cmpd="sng">
              <a:solidFill>
                <a:srgbClr val="4285F4"/>
              </a:solidFill>
            </a:ln>
          </c:spPr>
          <c:marker>
            <c:symbol val="none"/>
          </c:marker>
          <c:cat>
            <c:strRef>
              <c:f>Charts!$A$3:$A$15</c:f>
            </c:strRef>
          </c:cat>
          <c:val>
            <c:numRef>
              <c:f>Charts!$J$3:$J$15</c:f>
              <c:numCache/>
            </c:numRef>
          </c:val>
          <c:smooth val="0"/>
        </c:ser>
        <c:axId val="2123862474"/>
        <c:axId val="383206118"/>
      </c:lineChart>
      <c:catAx>
        <c:axId val="21238624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0" sz="1400">
                <a:solidFill>
                  <a:srgbClr val="000000"/>
                </a:solidFill>
                <a:latin typeface="+mn-lt"/>
              </a:defRPr>
            </a:pPr>
          </a:p>
        </c:txPr>
        <c:crossAx val="383206118"/>
      </c:catAx>
      <c:valAx>
        <c:axId val="3832061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Millions of core hours</a:t>
                </a:r>
              </a:p>
            </c:rich>
          </c:tx>
          <c:overlay val="0"/>
        </c:title>
        <c:numFmt formatCode="General" sourceLinked="0"/>
        <c:majorTickMark val="none"/>
        <c:minorTickMark val="none"/>
        <c:tickLblPos val="nextTo"/>
        <c:spPr>
          <a:ln/>
        </c:spPr>
        <c:txPr>
          <a:bodyPr/>
          <a:lstStyle/>
          <a:p>
            <a:pPr lvl="0">
              <a:defRPr b="0" sz="1400">
                <a:solidFill>
                  <a:srgbClr val="000000"/>
                </a:solidFill>
                <a:latin typeface="+mn-lt"/>
              </a:defRPr>
            </a:pPr>
          </a:p>
        </c:txPr>
        <c:crossAx val="212386247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areaChart>
        <c:grouping val="stacked"/>
        <c:ser>
          <c:idx val="0"/>
          <c:order val="0"/>
          <c:tx>
            <c:strRef>
              <c:f>Charts!$L$2:$L$5</c:f>
            </c:strRef>
          </c:tx>
          <c:spPr>
            <a:solidFill>
              <a:srgbClr val="4285F4">
                <a:alpha val="30000"/>
              </a:srgbClr>
            </a:solidFill>
            <a:ln cmpd="sng">
              <a:solidFill>
                <a:srgbClr val="4285F4"/>
              </a:solidFill>
            </a:ln>
          </c:spPr>
          <c:cat>
            <c:strRef>
              <c:f>Charts!$A$6:$A$15</c:f>
            </c:strRef>
          </c:cat>
          <c:val>
            <c:numRef>
              <c:f>Charts!$L$6:$L$15</c:f>
              <c:numCache/>
            </c:numRef>
          </c:val>
        </c:ser>
        <c:ser>
          <c:idx val="1"/>
          <c:order val="1"/>
          <c:tx>
            <c:strRef>
              <c:f>Charts!$M$2:$M$5</c:f>
            </c:strRef>
          </c:tx>
          <c:spPr>
            <a:solidFill>
              <a:srgbClr val="EA4335">
                <a:alpha val="30000"/>
              </a:srgbClr>
            </a:solidFill>
            <a:ln cmpd="sng">
              <a:solidFill>
                <a:srgbClr val="EA4335"/>
              </a:solidFill>
            </a:ln>
          </c:spPr>
          <c:cat>
            <c:strRef>
              <c:f>Charts!$A$6:$A$15</c:f>
            </c:strRef>
          </c:cat>
          <c:val>
            <c:numRef>
              <c:f>Charts!$M$6:$M$15</c:f>
              <c:numCache/>
            </c:numRef>
          </c:val>
        </c:ser>
        <c:ser>
          <c:idx val="2"/>
          <c:order val="2"/>
          <c:tx>
            <c:strRef>
              <c:f>Charts!$N$2:$N$5</c:f>
            </c:strRef>
          </c:tx>
          <c:spPr>
            <a:solidFill>
              <a:srgbClr val="FBBC04">
                <a:alpha val="30000"/>
              </a:srgbClr>
            </a:solidFill>
            <a:ln cmpd="sng">
              <a:solidFill>
                <a:srgbClr val="FBBC04"/>
              </a:solidFill>
            </a:ln>
          </c:spPr>
          <c:cat>
            <c:strRef>
              <c:f>Charts!$A$6:$A$15</c:f>
            </c:strRef>
          </c:cat>
          <c:val>
            <c:numRef>
              <c:f>Charts!$N$6:$N$15</c:f>
              <c:numCache/>
            </c:numRef>
          </c:val>
        </c:ser>
        <c:ser>
          <c:idx val="3"/>
          <c:order val="3"/>
          <c:tx>
            <c:strRef>
              <c:f>Charts!$O$2:$O$5</c:f>
            </c:strRef>
          </c:tx>
          <c:spPr>
            <a:solidFill>
              <a:srgbClr val="34A853">
                <a:alpha val="30000"/>
              </a:srgbClr>
            </a:solidFill>
            <a:ln cmpd="sng">
              <a:solidFill>
                <a:srgbClr val="34A853"/>
              </a:solidFill>
            </a:ln>
          </c:spPr>
          <c:cat>
            <c:strRef>
              <c:f>Charts!$A$6:$A$15</c:f>
            </c:strRef>
          </c:cat>
          <c:val>
            <c:numRef>
              <c:f>Charts!$O$6:$O$15</c:f>
              <c:numCache/>
            </c:numRef>
          </c:val>
        </c:ser>
        <c:ser>
          <c:idx val="4"/>
          <c:order val="4"/>
          <c:tx>
            <c:strRef>
              <c:f>Charts!$R$2:$R$5</c:f>
            </c:strRef>
          </c:tx>
          <c:spPr>
            <a:solidFill>
              <a:srgbClr val="FF6D01">
                <a:alpha val="30000"/>
              </a:srgbClr>
            </a:solidFill>
            <a:ln cmpd="sng">
              <a:solidFill>
                <a:srgbClr val="FF6D01"/>
              </a:solidFill>
            </a:ln>
          </c:spPr>
          <c:cat>
            <c:strRef>
              <c:f>Charts!$A$6:$A$15</c:f>
            </c:strRef>
          </c:cat>
          <c:val>
            <c:numRef>
              <c:f>Charts!$R$6:$R$15</c:f>
              <c:numCache/>
            </c:numRef>
          </c:val>
        </c:ser>
        <c:axId val="1235692900"/>
        <c:axId val="1064609874"/>
      </c:areaChart>
      <c:catAx>
        <c:axId val="12356929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2700000"/>
          <a:lstStyle/>
          <a:p>
            <a:pPr lvl="0">
              <a:defRPr b="0" sz="1200">
                <a:solidFill>
                  <a:srgbClr val="000000"/>
                </a:solidFill>
                <a:latin typeface="+mn-lt"/>
              </a:defRPr>
            </a:pPr>
          </a:p>
        </c:txPr>
        <c:crossAx val="1064609874"/>
      </c:catAx>
      <c:valAx>
        <c:axId val="1064609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Petabytes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569290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Estimated Max Network Transfer Rates</a:t>
            </a:r>
          </a:p>
        </c:rich>
      </c:tx>
      <c:overlay val="0"/>
    </c:title>
    <c:plotArea>
      <c:layout/>
      <c:lineChart>
        <c:ser>
          <c:idx val="0"/>
          <c:order val="0"/>
          <c:tx>
            <c:strRef>
              <c:f>'Network Flow'!$A$31</c:f>
            </c:strRef>
          </c:tx>
          <c:spPr>
            <a:ln cmpd="sng">
              <a:solidFill>
                <a:srgbClr val="4285F4"/>
              </a:solidFill>
            </a:ln>
          </c:spPr>
          <c:marker>
            <c:symbol val="none"/>
          </c:marker>
          <c:cat>
            <c:strRef>
              <c:f>'Network Flow'!$B$2:$K$2</c:f>
            </c:strRef>
          </c:cat>
          <c:val>
            <c:numRef>
              <c:f>'Network Flow'!$B$31:$K$31</c:f>
              <c:numCache/>
            </c:numRef>
          </c:val>
          <c:smooth val="1"/>
        </c:ser>
        <c:ser>
          <c:idx val="1"/>
          <c:order val="1"/>
          <c:tx>
            <c:strRef>
              <c:f>'Network Flow'!$A$32</c:f>
            </c:strRef>
          </c:tx>
          <c:spPr>
            <a:ln cmpd="sng">
              <a:solidFill>
                <a:srgbClr val="EA4335"/>
              </a:solidFill>
            </a:ln>
          </c:spPr>
          <c:marker>
            <c:symbol val="none"/>
          </c:marker>
          <c:cat>
            <c:strRef>
              <c:f>'Network Flow'!$B$2:$K$2</c:f>
            </c:strRef>
          </c:cat>
          <c:val>
            <c:numRef>
              <c:f>'Network Flow'!$B$32:$K$32</c:f>
              <c:numCache/>
            </c:numRef>
          </c:val>
          <c:smooth val="1"/>
        </c:ser>
        <c:ser>
          <c:idx val="2"/>
          <c:order val="2"/>
          <c:tx>
            <c:strRef>
              <c:f>'Network Flow'!$A$33</c:f>
            </c:strRef>
          </c:tx>
          <c:spPr>
            <a:ln cmpd="sng">
              <a:solidFill>
                <a:srgbClr val="FBBC04"/>
              </a:solidFill>
            </a:ln>
          </c:spPr>
          <c:marker>
            <c:symbol val="none"/>
          </c:marker>
          <c:cat>
            <c:strRef>
              <c:f>'Network Flow'!$B$2:$K$2</c:f>
            </c:strRef>
          </c:cat>
          <c:val>
            <c:numRef>
              <c:f>'Network Flow'!$B$33:$K$33</c:f>
              <c:numCache/>
            </c:numRef>
          </c:val>
          <c:smooth val="1"/>
        </c:ser>
        <c:ser>
          <c:idx val="3"/>
          <c:order val="3"/>
          <c:tx>
            <c:strRef>
              <c:f>'Network Flow'!$A$34</c:f>
            </c:strRef>
          </c:tx>
          <c:spPr>
            <a:ln cmpd="sng">
              <a:solidFill>
                <a:srgbClr val="34A853"/>
              </a:solidFill>
            </a:ln>
          </c:spPr>
          <c:marker>
            <c:symbol val="none"/>
          </c:marker>
          <c:cat>
            <c:strRef>
              <c:f>'Network Flow'!$B$2:$K$2</c:f>
            </c:strRef>
          </c:cat>
          <c:val>
            <c:numRef>
              <c:f>'Network Flow'!$B$34:$K$34</c:f>
              <c:numCache/>
            </c:numRef>
          </c:val>
          <c:smooth val="1"/>
        </c:ser>
        <c:ser>
          <c:idx val="4"/>
          <c:order val="4"/>
          <c:tx>
            <c:strRef>
              <c:f>'Network Flow'!$A$30</c:f>
            </c:strRef>
          </c:tx>
          <c:spPr>
            <a:ln cmpd="sng">
              <a:solidFill>
                <a:srgbClr val="FF6D01"/>
              </a:solidFill>
            </a:ln>
          </c:spPr>
          <c:marker>
            <c:symbol val="none"/>
          </c:marker>
          <c:cat>
            <c:strRef>
              <c:f>'Network Flow'!$B$2:$K$2</c:f>
            </c:strRef>
          </c:cat>
          <c:val>
            <c:numRef>
              <c:f>'Network Flow'!$B$30:$K$30</c:f>
              <c:numCache/>
            </c:numRef>
          </c:val>
          <c:smooth val="1"/>
        </c:ser>
        <c:ser>
          <c:idx val="5"/>
          <c:order val="5"/>
          <c:tx>
            <c:strRef>
              <c:f>'Network Flow'!$A$36</c:f>
            </c:strRef>
          </c:tx>
          <c:spPr>
            <a:ln cmpd="sng">
              <a:solidFill>
                <a:srgbClr val="46BDC6"/>
              </a:solidFill>
            </a:ln>
          </c:spPr>
          <c:marker>
            <c:symbol val="none"/>
          </c:marker>
          <c:cat>
            <c:strRef>
              <c:f>'Network Flow'!$B$2:$K$2</c:f>
            </c:strRef>
          </c:cat>
          <c:val>
            <c:numRef>
              <c:f>'Network Flow'!$B$36:$K$36</c:f>
              <c:numCache/>
            </c:numRef>
          </c:val>
          <c:smooth val="1"/>
        </c:ser>
        <c:ser>
          <c:idx val="6"/>
          <c:order val="6"/>
          <c:tx>
            <c:strRef>
              <c:f>'Network Flow'!$A$37</c:f>
            </c:strRef>
          </c:tx>
          <c:spPr>
            <a:ln cmpd="sng">
              <a:solidFill>
                <a:srgbClr val="7BAAF7"/>
              </a:solidFill>
            </a:ln>
          </c:spPr>
          <c:marker>
            <c:symbol val="none"/>
          </c:marker>
          <c:cat>
            <c:strRef>
              <c:f>'Network Flow'!$B$2:$K$2</c:f>
            </c:strRef>
          </c:cat>
          <c:val>
            <c:numRef>
              <c:f>'Network Flow'!$B$37:$K$37</c:f>
              <c:numCache/>
            </c:numRef>
          </c:val>
          <c:smooth val="1"/>
        </c:ser>
        <c:axId val="633556416"/>
        <c:axId val="1873875977"/>
      </c:lineChart>
      <c:catAx>
        <c:axId val="6335564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 of Survey</a:t>
                </a:r>
              </a:p>
            </c:rich>
          </c:tx>
          <c:overlay val="0"/>
        </c:title>
        <c:numFmt formatCode="General" sourceLinked="1"/>
        <c:majorTickMark val="none"/>
        <c:minorTickMark val="none"/>
        <c:spPr/>
        <c:txPr>
          <a:bodyPr/>
          <a:lstStyle/>
          <a:p>
            <a:pPr lvl="0">
              <a:defRPr b="0">
                <a:solidFill>
                  <a:srgbClr val="000000"/>
                </a:solidFill>
                <a:latin typeface="+mn-lt"/>
              </a:defRPr>
            </a:pPr>
          </a:p>
        </c:txPr>
        <c:crossAx val="1873875977"/>
      </c:catAx>
      <c:valAx>
        <c:axId val="1873875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Gb/s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3556416"/>
      </c:valAx>
    </c:plotArea>
    <c:legend>
      <c:legendPos val="r"/>
      <c:overlay val="0"/>
      <c:txPr>
        <a:bodyPr/>
        <a:lstStyle/>
        <a:p>
          <a:pPr lvl="0">
            <a:defRPr b="0">
              <a:solidFill>
                <a:srgbClr val="1A1A1A"/>
              </a:solidFill>
              <a:latin typeface="+mn-lt"/>
            </a:defRPr>
          </a:pPr>
        </a:p>
      </c:txPr>
    </c:legend>
    <c:plotVisOnly val="1"/>
  </c:chart>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18</xdr:row>
      <xdr:rowOff>104775</xdr:rowOff>
    </xdr:from>
    <xdr:ext cx="6648450" cy="4105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57150</xdr:colOff>
      <xdr:row>18</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104775</xdr:colOff>
      <xdr:row>38</xdr:row>
      <xdr:rowOff>200025</xdr:rowOff>
    </xdr:from>
    <xdr:ext cx="8734425"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123825</xdr:colOff>
      <xdr:row>38</xdr:row>
      <xdr:rowOff>152400</xdr:rowOff>
    </xdr:from>
    <xdr:ext cx="5715000" cy="23336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38</xdr:row>
      <xdr:rowOff>304800</xdr:rowOff>
    </xdr:from>
    <xdr:ext cx="84582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microway.com/product/navion-1u-amd-epyc-gpu-server/"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2.5"/>
    <col customWidth="1" min="3" max="3" width="14.38"/>
    <col customWidth="1" min="4" max="4" width="10.63"/>
    <col customWidth="1" min="5" max="5" width="12.38"/>
    <col customWidth="1" min="6" max="6" width="13.63"/>
  </cols>
  <sheetData>
    <row r="1">
      <c r="A1" s="1" t="s">
        <v>0</v>
      </c>
      <c r="B1" s="2" t="s">
        <v>1</v>
      </c>
      <c r="C1" s="2">
        <v>4.0</v>
      </c>
      <c r="D1" s="2">
        <v>0.0</v>
      </c>
      <c r="E1" s="2"/>
      <c r="F1" s="2"/>
      <c r="G1" s="1" t="s">
        <v>2</v>
      </c>
      <c r="H1" s="3"/>
    </row>
    <row r="2">
      <c r="A2" s="4" t="s">
        <v>3</v>
      </c>
      <c r="B2" s="5">
        <v>2021.0</v>
      </c>
      <c r="C2" s="6">
        <f t="shared" ref="C2:E2" si="1">B2+1</f>
        <v>2022</v>
      </c>
      <c r="D2" s="6">
        <f t="shared" si="1"/>
        <v>2023</v>
      </c>
      <c r="E2" s="6">
        <f t="shared" si="1"/>
        <v>2024</v>
      </c>
      <c r="G2" s="1" t="s">
        <v>4</v>
      </c>
      <c r="H2" s="1" t="s">
        <v>5</v>
      </c>
    </row>
    <row r="3">
      <c r="A3" s="2" t="s">
        <v>6</v>
      </c>
      <c r="B3" s="7">
        <f t="shared" ref="B3:E3" si="2">B83</f>
        <v>690000</v>
      </c>
      <c r="C3" s="7">
        <f t="shared" si="2"/>
        <v>0</v>
      </c>
      <c r="D3" s="7">
        <f t="shared" si="2"/>
        <v>1500000</v>
      </c>
      <c r="E3" s="7">
        <f t="shared" si="2"/>
        <v>5460000</v>
      </c>
      <c r="G3" s="2">
        <v>1.0</v>
      </c>
      <c r="H3" s="2">
        <v>1.0</v>
      </c>
      <c r="I3" s="2" t="s">
        <v>7</v>
      </c>
    </row>
    <row r="4">
      <c r="A4" s="2" t="s">
        <v>8</v>
      </c>
      <c r="B4" s="7">
        <f t="shared" ref="B4:E4" si="3">B102</f>
        <v>101927.4411</v>
      </c>
      <c r="C4" s="7">
        <f t="shared" si="3"/>
        <v>95547.90711</v>
      </c>
      <c r="D4" s="7">
        <f t="shared" si="3"/>
        <v>523354.2156</v>
      </c>
      <c r="E4" s="7">
        <f t="shared" si="3"/>
        <v>3859657.565</v>
      </c>
      <c r="G4" s="2">
        <v>1.0</v>
      </c>
      <c r="H4" s="2">
        <v>1.0</v>
      </c>
      <c r="I4" s="2" t="s">
        <v>9</v>
      </c>
    </row>
    <row r="5">
      <c r="A5" s="2" t="s">
        <v>10</v>
      </c>
      <c r="B5" s="7"/>
      <c r="C5" s="7"/>
      <c r="D5" s="7">
        <f t="shared" ref="D5:E5" si="4">(E59+E61)*$E$27</f>
        <v>280000</v>
      </c>
      <c r="E5" s="7">
        <f t="shared" si="4"/>
        <v>3520000</v>
      </c>
      <c r="G5" s="2">
        <v>133.0</v>
      </c>
      <c r="H5" s="2">
        <v>45.0</v>
      </c>
      <c r="I5" s="2" t="s">
        <v>11</v>
      </c>
    </row>
    <row r="6">
      <c r="A6" s="1" t="s">
        <v>12</v>
      </c>
      <c r="B6" s="8">
        <f t="shared" ref="B6:E6" si="5">sum(B3:B5)</f>
        <v>791927.4411</v>
      </c>
      <c r="C6" s="8">
        <f t="shared" si="5"/>
        <v>95547.90711</v>
      </c>
      <c r="D6" s="8">
        <f t="shared" si="5"/>
        <v>2303354.216</v>
      </c>
      <c r="E6" s="8">
        <f t="shared" si="5"/>
        <v>12839657.57</v>
      </c>
      <c r="G6" s="9">
        <v>0.05</v>
      </c>
      <c r="H6" s="9">
        <v>0.05</v>
      </c>
      <c r="I6" s="2" t="s">
        <v>13</v>
      </c>
    </row>
    <row r="7">
      <c r="A7" s="2" t="s">
        <v>14</v>
      </c>
      <c r="B7" s="7">
        <f t="shared" ref="B7:E7" si="6">B$3*(1-( (B$2-2019)*$C$75))</f>
        <v>552000</v>
      </c>
      <c r="C7" s="7">
        <f t="shared" si="6"/>
        <v>0</v>
      </c>
      <c r="D7" s="7">
        <f t="shared" si="6"/>
        <v>900000</v>
      </c>
      <c r="E7" s="7">
        <f t="shared" si="6"/>
        <v>2730000</v>
      </c>
      <c r="G7" s="10">
        <v>0.1</v>
      </c>
      <c r="H7" s="10">
        <v>0.1</v>
      </c>
      <c r="I7" s="2" t="s">
        <v>15</v>
      </c>
    </row>
    <row r="8">
      <c r="A8" s="2" t="s">
        <v>16</v>
      </c>
      <c r="B8" s="7"/>
      <c r="C8" s="7"/>
      <c r="D8" s="7"/>
      <c r="E8" s="7">
        <f>-(E7/2)</f>
        <v>-1365000</v>
      </c>
      <c r="G8" s="2">
        <v>1.0</v>
      </c>
      <c r="H8" s="2">
        <v>1.0</v>
      </c>
      <c r="I8" s="2" t="s">
        <v>17</v>
      </c>
    </row>
    <row r="9">
      <c r="A9" s="2" t="s">
        <v>18</v>
      </c>
      <c r="B9" s="7"/>
      <c r="C9" s="7"/>
      <c r="D9" s="7"/>
      <c r="E9" s="7">
        <f>-(E7/4)</f>
        <v>-682500</v>
      </c>
      <c r="G9" s="2">
        <v>0.0</v>
      </c>
      <c r="H9" s="2">
        <v>14.0</v>
      </c>
      <c r="I9" s="2" t="s">
        <v>19</v>
      </c>
    </row>
    <row r="10">
      <c r="A10" s="2" t="s">
        <v>20</v>
      </c>
      <c r="B10" s="7">
        <f t="shared" ref="B10:E10" si="7">B4*(1-( (B2-2019)*$C$76))</f>
        <v>91734.69696</v>
      </c>
      <c r="C10" s="7">
        <f t="shared" si="7"/>
        <v>81215.72104</v>
      </c>
      <c r="D10" s="7">
        <f t="shared" si="7"/>
        <v>418683.3725</v>
      </c>
      <c r="E10" s="7">
        <f t="shared" si="7"/>
        <v>2894743.174</v>
      </c>
      <c r="G10" s="2">
        <v>0.0</v>
      </c>
      <c r="H10" s="2">
        <v>26.0</v>
      </c>
      <c r="I10" s="2" t="s">
        <v>21</v>
      </c>
    </row>
    <row r="11">
      <c r="A11" s="2" t="s">
        <v>22</v>
      </c>
      <c r="B11" s="7"/>
      <c r="C11" s="7"/>
      <c r="D11" s="7">
        <f t="shared" ref="D11:E11" si="8">D$5*(1-( (D$2-2019)*$C$77))</f>
        <v>196000</v>
      </c>
      <c r="E11" s="7">
        <f t="shared" si="8"/>
        <v>2200000</v>
      </c>
      <c r="G11" s="2">
        <v>2020.0</v>
      </c>
      <c r="H11" s="2">
        <v>2019.0</v>
      </c>
      <c r="I11" s="2" t="s">
        <v>23</v>
      </c>
    </row>
    <row r="12" ht="18.0" customHeight="1">
      <c r="A12" s="2" t="s">
        <v>24</v>
      </c>
      <c r="B12" s="7">
        <f t="shared" ref="B12:E12" si="9">B113</f>
        <v>110802.2722</v>
      </c>
      <c r="C12" s="7">
        <f t="shared" si="9"/>
        <v>62802.27222</v>
      </c>
      <c r="D12" s="7">
        <f t="shared" si="9"/>
        <v>238012.3453</v>
      </c>
      <c r="E12" s="7">
        <f t="shared" si="9"/>
        <v>805839.5542</v>
      </c>
      <c r="G12" s="2">
        <v>0.3</v>
      </c>
      <c r="H12" s="2">
        <v>0.2</v>
      </c>
      <c r="I12" s="2" t="s">
        <v>25</v>
      </c>
    </row>
    <row r="13">
      <c r="A13" s="1" t="s">
        <v>26</v>
      </c>
      <c r="B13" s="8">
        <f t="shared" ref="B13:F13" si="10">sum(B7:B12)</f>
        <v>754536.9692</v>
      </c>
      <c r="C13" s="8">
        <f t="shared" si="10"/>
        <v>144017.9933</v>
      </c>
      <c r="D13" s="8">
        <f t="shared" si="10"/>
        <v>1752695.718</v>
      </c>
      <c r="E13" s="8">
        <f t="shared" si="10"/>
        <v>6583082.728</v>
      </c>
      <c r="F13" s="8">
        <f t="shared" si="10"/>
        <v>0</v>
      </c>
      <c r="G13" s="2">
        <v>720.0</v>
      </c>
      <c r="H13" s="2">
        <v>720.0</v>
      </c>
      <c r="I13" s="2" t="s">
        <v>27</v>
      </c>
    </row>
    <row r="14">
      <c r="A14" s="1"/>
      <c r="B14" s="1"/>
      <c r="C14" s="1"/>
      <c r="D14" s="1"/>
      <c r="E14" s="2"/>
      <c r="G14" s="2">
        <v>1.05</v>
      </c>
      <c r="H14" s="2">
        <v>1.05</v>
      </c>
      <c r="I14" s="2" t="s">
        <v>28</v>
      </c>
    </row>
    <row r="15">
      <c r="A15" s="1"/>
      <c r="B15" s="1"/>
      <c r="C15" s="1"/>
      <c r="D15" s="1"/>
      <c r="E15" s="2"/>
      <c r="G15" s="2"/>
    </row>
    <row r="16">
      <c r="A16" s="1"/>
      <c r="B16" s="1"/>
      <c r="C16" s="1"/>
      <c r="D16" s="1"/>
      <c r="E16" s="2"/>
      <c r="G16" s="2"/>
    </row>
    <row r="17">
      <c r="A17" s="1" t="s">
        <v>29</v>
      </c>
      <c r="B17" s="2" t="s">
        <v>30</v>
      </c>
      <c r="C17" s="1">
        <v>4.0</v>
      </c>
      <c r="D17" s="1">
        <v>2.0</v>
      </c>
      <c r="F17" s="2" t="s">
        <v>31</v>
      </c>
      <c r="G17" s="2"/>
    </row>
    <row r="18">
      <c r="A18" s="2" t="s">
        <v>32</v>
      </c>
      <c r="B18" s="1"/>
      <c r="C18" s="1"/>
      <c r="D18" s="8">
        <f>sum(B13:D13)</f>
        <v>2651250.68</v>
      </c>
      <c r="E18" s="2"/>
      <c r="G18" s="2"/>
    </row>
    <row r="19">
      <c r="A19" s="2" t="s">
        <v>33</v>
      </c>
      <c r="B19" s="2"/>
      <c r="C19" s="2"/>
      <c r="D19" s="7">
        <v>1.389222E7</v>
      </c>
      <c r="E19" s="2" t="s">
        <v>34</v>
      </c>
      <c r="G19" s="2"/>
    </row>
    <row r="20">
      <c r="A20" s="1" t="s">
        <v>35</v>
      </c>
      <c r="B20" s="2"/>
      <c r="C20" s="2"/>
      <c r="D20" s="8">
        <f>D19-D18</f>
        <v>11240969.32</v>
      </c>
      <c r="E20" s="2"/>
      <c r="G20" s="2"/>
    </row>
    <row r="21">
      <c r="A21" s="2" t="s">
        <v>36</v>
      </c>
      <c r="B21" s="2"/>
      <c r="C21" s="2"/>
      <c r="D21" s="7">
        <f>($E$97+$E$100)*(1-( (E2-2020)*$C$76))</f>
        <v>980617.7075</v>
      </c>
      <c r="E21" s="2"/>
      <c r="F21" s="2"/>
      <c r="G21" s="2"/>
    </row>
    <row r="22">
      <c r="A22" s="2" t="s">
        <v>37</v>
      </c>
      <c r="B22" s="2"/>
      <c r="C22" s="2"/>
      <c r="D22" s="7">
        <f>0.1*E7</f>
        <v>273000</v>
      </c>
      <c r="E22" s="2"/>
      <c r="F22" s="2"/>
      <c r="G22" s="2"/>
    </row>
    <row r="23">
      <c r="A23" s="2"/>
      <c r="B23" s="2"/>
      <c r="C23" s="2"/>
      <c r="D23" s="2"/>
      <c r="E23" s="2"/>
      <c r="F23" s="2"/>
      <c r="G23" s="2"/>
    </row>
    <row r="24">
      <c r="A24" s="1" t="s">
        <v>38</v>
      </c>
      <c r="B24" s="2" t="s">
        <v>39</v>
      </c>
      <c r="C24" s="2">
        <v>6.0</v>
      </c>
      <c r="D24" s="2">
        <v>0.0</v>
      </c>
      <c r="E24" s="2"/>
      <c r="F24" s="2"/>
      <c r="G24" s="2"/>
    </row>
    <row r="25">
      <c r="A25" s="2" t="s">
        <v>40</v>
      </c>
      <c r="B25" s="2" t="s">
        <v>41</v>
      </c>
      <c r="C25" s="2" t="s">
        <v>42</v>
      </c>
      <c r="D25" s="2" t="s">
        <v>43</v>
      </c>
      <c r="E25" s="2" t="s">
        <v>44</v>
      </c>
      <c r="F25" s="2" t="s">
        <v>45</v>
      </c>
      <c r="G25" s="2" t="s">
        <v>46</v>
      </c>
    </row>
    <row r="26">
      <c r="A26" s="2" t="s">
        <v>47</v>
      </c>
      <c r="B26" s="2">
        <v>32.0</v>
      </c>
      <c r="C26" s="2">
        <v>192.0</v>
      </c>
      <c r="D26" s="11">
        <f>CEILING(2*16*2.1*13.6/816*24,1)</f>
        <v>27</v>
      </c>
      <c r="E26" s="12">
        <v>10000.0</v>
      </c>
      <c r="F26" s="2" t="s">
        <v>48</v>
      </c>
    </row>
    <row r="27">
      <c r="A27" s="2" t="s">
        <v>49</v>
      </c>
      <c r="B27" s="2">
        <v>12.0</v>
      </c>
      <c r="C27" s="2">
        <v>128.0</v>
      </c>
      <c r="D27" s="11">
        <f>ceiling(2*6*2.5*13.6/816*24,1)</f>
        <v>12</v>
      </c>
      <c r="E27" s="12">
        <v>20000.0</v>
      </c>
      <c r="F27" s="2" t="s">
        <v>50</v>
      </c>
      <c r="G27" s="2" t="s">
        <v>51</v>
      </c>
    </row>
    <row r="28">
      <c r="A28" s="2" t="s">
        <v>52</v>
      </c>
      <c r="B28" s="2">
        <v>64.0</v>
      </c>
      <c r="C28" s="2">
        <f t="shared" ref="C28:C29" si="11">4*B28
</f>
        <v>256</v>
      </c>
      <c r="D28" s="11">
        <f>CEILING(1484*0.85/816*24,1)</f>
        <v>38</v>
      </c>
      <c r="E28" s="12">
        <v>13000.0</v>
      </c>
      <c r="F28" s="13" t="s">
        <v>53</v>
      </c>
    </row>
    <row r="29">
      <c r="A29" s="2" t="s">
        <v>54</v>
      </c>
      <c r="B29" s="2">
        <v>128.0</v>
      </c>
      <c r="C29" s="2">
        <f t="shared" si="11"/>
        <v>512</v>
      </c>
      <c r="D29" s="11">
        <f>ceiling(4608*0.85/816*24,1)</f>
        <v>116</v>
      </c>
      <c r="E29" s="12">
        <v>13000.0</v>
      </c>
      <c r="F29" s="2" t="s">
        <v>55</v>
      </c>
    </row>
    <row r="30">
      <c r="A30" s="2" t="s">
        <v>56</v>
      </c>
      <c r="B30" s="2">
        <v>24.0</v>
      </c>
      <c r="C30" s="2">
        <v>128.0</v>
      </c>
      <c r="D30" s="14">
        <f>2*12*2.5*13.6/816*24</f>
        <v>24</v>
      </c>
      <c r="E30" s="12">
        <v>9000.0</v>
      </c>
      <c r="F30" s="2" t="s">
        <v>57</v>
      </c>
      <c r="G30" s="15" t="s">
        <v>58</v>
      </c>
    </row>
    <row r="31">
      <c r="A31" s="1"/>
      <c r="B31" s="2"/>
      <c r="C31" s="2"/>
      <c r="D31" s="2"/>
      <c r="E31" s="2"/>
      <c r="F31" s="2"/>
      <c r="G31" s="2" t="s">
        <v>59</v>
      </c>
    </row>
    <row r="32">
      <c r="A32" s="1"/>
      <c r="B32" s="2"/>
      <c r="C32" s="2"/>
      <c r="D32" s="2"/>
      <c r="E32" s="2"/>
      <c r="F32" s="2"/>
      <c r="G32" s="2"/>
    </row>
    <row r="33">
      <c r="A33" s="1" t="s">
        <v>60</v>
      </c>
      <c r="B33" s="2" t="s">
        <v>61</v>
      </c>
      <c r="C33" s="2">
        <v>3.0</v>
      </c>
      <c r="D33" s="2">
        <v>0.0</v>
      </c>
      <c r="E33" s="2"/>
      <c r="F33" s="2"/>
      <c r="G33" s="2"/>
    </row>
    <row r="34">
      <c r="A34" s="2" t="s">
        <v>62</v>
      </c>
      <c r="B34" s="2" t="s">
        <v>63</v>
      </c>
      <c r="C34" s="2" t="s">
        <v>64</v>
      </c>
      <c r="D34" s="2" t="s">
        <v>65</v>
      </c>
    </row>
    <row r="35">
      <c r="A35" s="2" t="s">
        <v>66</v>
      </c>
      <c r="B35" s="16">
        <v>400.0</v>
      </c>
      <c r="C35" s="12">
        <v>1000.0</v>
      </c>
      <c r="D35" s="2" t="s">
        <v>67</v>
      </c>
    </row>
    <row r="36">
      <c r="A36" s="2" t="s">
        <v>68</v>
      </c>
      <c r="B36" s="17">
        <v>70.0</v>
      </c>
      <c r="C36" s="12">
        <v>135.0</v>
      </c>
      <c r="D36" s="2" t="s">
        <v>69</v>
      </c>
    </row>
    <row r="37">
      <c r="A37" s="2" t="s">
        <v>70</v>
      </c>
      <c r="B37" s="17">
        <v>70.0</v>
      </c>
      <c r="C37" s="12">
        <f>H5</f>
        <v>45</v>
      </c>
      <c r="D37" s="2" t="s">
        <v>71</v>
      </c>
    </row>
    <row r="38">
      <c r="A38" s="2" t="s">
        <v>72</v>
      </c>
      <c r="B38" s="16">
        <v>15.65</v>
      </c>
      <c r="C38" s="12">
        <v>25.0</v>
      </c>
      <c r="D38" s="2" t="s">
        <v>73</v>
      </c>
    </row>
    <row r="42">
      <c r="G42" s="2" t="s">
        <v>74</v>
      </c>
      <c r="H42" s="2" t="s">
        <v>75</v>
      </c>
      <c r="I42" s="2" t="s">
        <v>76</v>
      </c>
    </row>
    <row r="44">
      <c r="A44" s="4" t="s">
        <v>77</v>
      </c>
      <c r="B44" s="18" t="s">
        <v>78</v>
      </c>
      <c r="C44" s="19">
        <v>6.0</v>
      </c>
      <c r="D44" s="20">
        <v>0.0</v>
      </c>
      <c r="F44" s="2" t="s">
        <v>79</v>
      </c>
      <c r="G44" s="21"/>
    </row>
    <row r="45">
      <c r="A45" s="4" t="s">
        <v>3</v>
      </c>
      <c r="B45" s="5">
        <v>2019.0</v>
      </c>
      <c r="C45" s="5">
        <f>B2</f>
        <v>2021</v>
      </c>
      <c r="D45" s="6">
        <f t="shared" ref="D45:F45" si="12">C45+1</f>
        <v>2022</v>
      </c>
      <c r="E45" s="6">
        <f t="shared" si="12"/>
        <v>2023</v>
      </c>
      <c r="F45" s="6">
        <f t="shared" si="12"/>
        <v>2024</v>
      </c>
    </row>
    <row r="46">
      <c r="A46" s="18" t="s">
        <v>80</v>
      </c>
      <c r="C46" s="22">
        <f>Compute!C24</f>
        <v>4406677.658</v>
      </c>
      <c r="D46" s="22">
        <f>Compute!D24</f>
        <v>4406677.658</v>
      </c>
      <c r="E46" s="22">
        <f>Compute!E24</f>
        <v>11216345.45</v>
      </c>
      <c r="F46" s="22">
        <f>Compute!F24</f>
        <v>45264684.43</v>
      </c>
    </row>
    <row r="47">
      <c r="A47" s="18" t="s">
        <v>81</v>
      </c>
      <c r="C47" s="23">
        <f t="shared" ref="C47:F47" si="13">C46-B46</f>
        <v>4406677.658</v>
      </c>
      <c r="D47" s="23">
        <f t="shared" si="13"/>
        <v>0</v>
      </c>
      <c r="E47" s="23">
        <f t="shared" si="13"/>
        <v>6809667.796</v>
      </c>
      <c r="F47" s="23">
        <f t="shared" si="13"/>
        <v>34048338.98</v>
      </c>
    </row>
    <row r="48">
      <c r="A48" s="21" t="s">
        <v>82</v>
      </c>
      <c r="C48" s="24">
        <v>100.0</v>
      </c>
      <c r="D48" s="24">
        <v>100.0</v>
      </c>
      <c r="E48" s="24">
        <v>100.0</v>
      </c>
      <c r="F48" s="2">
        <v>100.0</v>
      </c>
    </row>
    <row r="49">
      <c r="A49" s="18" t="s">
        <v>83</v>
      </c>
      <c r="C49" s="25">
        <f t="shared" ref="C49:F49" si="14">C48*24</f>
        <v>2400</v>
      </c>
      <c r="D49" s="25">
        <f t="shared" si="14"/>
        <v>2400</v>
      </c>
      <c r="E49" s="25">
        <f t="shared" si="14"/>
        <v>2400</v>
      </c>
      <c r="F49" s="25">
        <f t="shared" si="14"/>
        <v>2400</v>
      </c>
    </row>
    <row r="50">
      <c r="A50" s="18" t="s">
        <v>84</v>
      </c>
      <c r="C50" s="25">
        <f t="shared" ref="C50:F50" si="15">C46/C49</f>
        <v>1836.115691</v>
      </c>
      <c r="D50" s="25">
        <f t="shared" si="15"/>
        <v>1836.115691</v>
      </c>
      <c r="E50" s="25">
        <f t="shared" si="15"/>
        <v>4673.477272</v>
      </c>
      <c r="F50" s="25">
        <f t="shared" si="15"/>
        <v>18860.28518</v>
      </c>
    </row>
    <row r="51">
      <c r="A51" s="18" t="s">
        <v>85</v>
      </c>
      <c r="B51" s="26">
        <f>48*$D$30</f>
        <v>1152</v>
      </c>
      <c r="C51" s="25">
        <f t="shared" ref="C51:F51" si="16">C47/C49</f>
        <v>1836.115691</v>
      </c>
      <c r="D51" s="25">
        <f t="shared" si="16"/>
        <v>0</v>
      </c>
      <c r="E51" s="25">
        <f t="shared" si="16"/>
        <v>2837.361581</v>
      </c>
      <c r="F51" s="25">
        <f t="shared" si="16"/>
        <v>14186.80791</v>
      </c>
    </row>
    <row r="52">
      <c r="A52" s="18" t="s">
        <v>86</v>
      </c>
      <c r="C52" s="14">
        <v>0.0</v>
      </c>
      <c r="D52" s="27">
        <v>0.0</v>
      </c>
      <c r="E52" s="28">
        <f>Compute!E27</f>
        <v>1188.409091</v>
      </c>
      <c r="F52" s="29">
        <f>Compute!F27</f>
        <v>1188.409091</v>
      </c>
    </row>
    <row r="53">
      <c r="A53" s="18" t="s">
        <v>87</v>
      </c>
      <c r="B53" s="30"/>
      <c r="C53" s="31">
        <f t="shared" ref="C53:F53" si="17">max(0,C52-B52)</f>
        <v>0</v>
      </c>
      <c r="D53" s="31">
        <f t="shared" si="17"/>
        <v>0</v>
      </c>
      <c r="E53" s="31">
        <f t="shared" si="17"/>
        <v>1188.409091</v>
      </c>
      <c r="F53" s="31">
        <f t="shared" si="17"/>
        <v>0</v>
      </c>
    </row>
    <row r="54">
      <c r="A54" s="18" t="s">
        <v>88</v>
      </c>
      <c r="B54" s="32">
        <f>20*$D$26</f>
        <v>540</v>
      </c>
      <c r="C54" s="33">
        <f t="shared" ref="C54:D54" si="18">B54</f>
        <v>540</v>
      </c>
      <c r="D54" s="33">
        <f t="shared" si="18"/>
        <v>540</v>
      </c>
      <c r="E54" s="33">
        <f>Compute!E31+Compute!E40</f>
        <v>140.8445205</v>
      </c>
      <c r="F54" s="33">
        <f>Compute!F31+Compute!F40</f>
        <v>568.3921561</v>
      </c>
      <c r="G54" s="2" t="s">
        <v>89</v>
      </c>
    </row>
    <row r="55">
      <c r="A55" s="18" t="s">
        <v>90</v>
      </c>
      <c r="B55" s="30"/>
      <c r="C55" s="31">
        <f t="shared" ref="C55:F55" si="19">max(0,C54-B54)</f>
        <v>0</v>
      </c>
      <c r="D55" s="31">
        <f t="shared" si="19"/>
        <v>0</v>
      </c>
      <c r="E55" s="31">
        <f t="shared" si="19"/>
        <v>0</v>
      </c>
      <c r="F55" s="31">
        <f t="shared" si="19"/>
        <v>427.5476356</v>
      </c>
    </row>
    <row r="56">
      <c r="A56" s="18" t="s">
        <v>91</v>
      </c>
      <c r="B56" s="32"/>
      <c r="C56" s="33">
        <v>0.0</v>
      </c>
      <c r="D56" s="33">
        <v>0.0</v>
      </c>
      <c r="E56" s="33">
        <f>G10</f>
        <v>0</v>
      </c>
      <c r="F56" s="33">
        <f>Compute!F36</f>
        <v>103.3440284</v>
      </c>
      <c r="G56" s="2" t="s">
        <v>92</v>
      </c>
    </row>
    <row r="57">
      <c r="A57" s="18" t="s">
        <v>93</v>
      </c>
      <c r="B57" s="32"/>
      <c r="C57" s="33">
        <v>0.0</v>
      </c>
      <c r="D57" s="33">
        <v>0.0</v>
      </c>
      <c r="E57" s="33">
        <f t="shared" ref="E57:F57" si="20">E56-D56</f>
        <v>0</v>
      </c>
      <c r="F57" s="33">
        <f t="shared" si="20"/>
        <v>103.3440284</v>
      </c>
    </row>
    <row r="58">
      <c r="A58" s="2" t="s">
        <v>94</v>
      </c>
      <c r="B58" s="32"/>
      <c r="C58" s="32" t="str">
        <f>Compute!C32</f>
        <v/>
      </c>
      <c r="D58" s="32" t="str">
        <f>Compute!D32</f>
        <v/>
      </c>
      <c r="E58" s="32">
        <f>Compute!E32</f>
        <v>14</v>
      </c>
      <c r="F58" s="32">
        <f>Compute!F32</f>
        <v>95</v>
      </c>
    </row>
    <row r="59">
      <c r="A59" s="34" t="s">
        <v>95</v>
      </c>
      <c r="B59" s="32"/>
      <c r="C59" s="32"/>
      <c r="D59" s="32"/>
      <c r="E59" s="32">
        <f t="shared" ref="E59:F59" si="21">E58-D58</f>
        <v>14</v>
      </c>
      <c r="F59" s="32">
        <f t="shared" si="21"/>
        <v>81</v>
      </c>
    </row>
    <row r="60">
      <c r="A60" s="34" t="s">
        <v>96</v>
      </c>
      <c r="B60" s="32"/>
      <c r="C60" s="32"/>
      <c r="D60" s="32"/>
      <c r="E60" s="33">
        <f>G9</f>
        <v>0</v>
      </c>
      <c r="F60" s="32">
        <f>Compute!F37</f>
        <v>95</v>
      </c>
      <c r="G60" s="2" t="s">
        <v>97</v>
      </c>
    </row>
    <row r="61">
      <c r="A61" s="34" t="s">
        <v>98</v>
      </c>
      <c r="B61" s="32"/>
      <c r="C61" s="32"/>
      <c r="D61" s="32"/>
      <c r="E61" s="32">
        <f t="shared" ref="E61:F61" si="22">E60-D60</f>
        <v>0</v>
      </c>
      <c r="F61" s="32">
        <f t="shared" si="22"/>
        <v>95</v>
      </c>
    </row>
    <row r="62">
      <c r="A62" s="1" t="s">
        <v>99</v>
      </c>
      <c r="B62" s="35"/>
      <c r="C62" s="36">
        <f t="shared" ref="C62:F62" si="23">C57+C55+C53+C51</f>
        <v>1836.115691</v>
      </c>
      <c r="D62" s="36">
        <f t="shared" si="23"/>
        <v>0</v>
      </c>
      <c r="E62" s="36">
        <f t="shared" si="23"/>
        <v>4025.770672</v>
      </c>
      <c r="F62" s="36">
        <f t="shared" si="23"/>
        <v>14717.69957</v>
      </c>
    </row>
    <row r="63">
      <c r="A63" s="2" t="s">
        <v>100</v>
      </c>
      <c r="C63" s="31">
        <f>Storage!C64</f>
        <v>11.84210526</v>
      </c>
      <c r="D63" s="31">
        <f>Storage!D64</f>
        <v>23.68421053</v>
      </c>
      <c r="E63" s="31">
        <f>Storage!E64</f>
        <v>49.75421053</v>
      </c>
      <c r="F63" s="31">
        <f>Storage!F64</f>
        <v>206.1742105</v>
      </c>
    </row>
    <row r="64">
      <c r="A64" s="2" t="s">
        <v>101</v>
      </c>
      <c r="C64" s="31">
        <f t="shared" ref="C64:F64" si="24">C63-B63</f>
        <v>11.84210526</v>
      </c>
      <c r="D64" s="31">
        <f t="shared" si="24"/>
        <v>11.84210526</v>
      </c>
      <c r="E64" s="31">
        <f t="shared" si="24"/>
        <v>26.07</v>
      </c>
      <c r="F64" s="31">
        <f t="shared" si="24"/>
        <v>156.42</v>
      </c>
    </row>
    <row r="65">
      <c r="A65" s="2" t="s">
        <v>102</v>
      </c>
      <c r="B65" s="2">
        <v>3000.0</v>
      </c>
      <c r="C65" s="31">
        <f>Storage!C66</f>
        <v>3466.81753</v>
      </c>
      <c r="D65" s="31">
        <f>Storage!D66</f>
        <v>3534.963997</v>
      </c>
      <c r="E65" s="31">
        <f>Storage!E66</f>
        <v>6629.573978</v>
      </c>
      <c r="F65" s="31">
        <f>Storage!F66</f>
        <v>24080.6694</v>
      </c>
    </row>
    <row r="66">
      <c r="A66" s="2" t="s">
        <v>103</v>
      </c>
      <c r="C66" s="31">
        <f t="shared" ref="C66:F66" si="25">max(0,C65-B65)</f>
        <v>466.8175298</v>
      </c>
      <c r="D66" s="31">
        <f t="shared" si="25"/>
        <v>68.14646709</v>
      </c>
      <c r="E66" s="31">
        <f t="shared" si="25"/>
        <v>3094.609981</v>
      </c>
      <c r="F66" s="31">
        <f t="shared" si="25"/>
        <v>17451.09542</v>
      </c>
    </row>
    <row r="67">
      <c r="A67" s="2" t="s">
        <v>104</v>
      </c>
      <c r="C67" s="31">
        <f>Storage!C74</f>
        <v>318.5203069</v>
      </c>
      <c r="D67" s="31">
        <f>Storage!D74</f>
        <v>875.9308441</v>
      </c>
      <c r="E67" s="31">
        <f>Storage!E74</f>
        <v>3428.955108</v>
      </c>
      <c r="F67" s="31">
        <f>Storage!F74</f>
        <v>16617.20192</v>
      </c>
    </row>
    <row r="68">
      <c r="A68" s="2" t="s">
        <v>105</v>
      </c>
      <c r="C68" s="31">
        <f t="shared" ref="C68:F68" si="26">C67-B67</f>
        <v>318.5203069</v>
      </c>
      <c r="D68" s="31">
        <f t="shared" si="26"/>
        <v>557.4105372</v>
      </c>
      <c r="E68" s="31">
        <f t="shared" si="26"/>
        <v>2553.024264</v>
      </c>
      <c r="F68" s="31">
        <f t="shared" si="26"/>
        <v>13188.24681</v>
      </c>
    </row>
    <row r="69">
      <c r="A69" s="2" t="s">
        <v>106</v>
      </c>
      <c r="C69" s="31">
        <f>Storage!C79</f>
        <v>2697.568715</v>
      </c>
      <c r="D69" s="31">
        <f>Storage!D79</f>
        <v>5702.174128</v>
      </c>
      <c r="E69" s="31">
        <f>Storage!E79</f>
        <v>13216.02834</v>
      </c>
      <c r="F69" s="31">
        <f>Storage!F79</f>
        <v>40472.48039</v>
      </c>
    </row>
    <row r="70">
      <c r="A70" s="2" t="s">
        <v>107</v>
      </c>
      <c r="C70" s="31">
        <f t="shared" ref="C70:F70" si="27">C69-B69</f>
        <v>2697.568715</v>
      </c>
      <c r="D70" s="31">
        <f t="shared" si="27"/>
        <v>3004.605413</v>
      </c>
      <c r="E70" s="31">
        <f t="shared" si="27"/>
        <v>7513.854215</v>
      </c>
      <c r="F70" s="31">
        <f t="shared" si="27"/>
        <v>27256.45204</v>
      </c>
    </row>
    <row r="71">
      <c r="A71" s="2" t="s">
        <v>108</v>
      </c>
      <c r="C71" s="2"/>
      <c r="D71" s="2"/>
      <c r="E71" s="2"/>
      <c r="F71" s="31">
        <f>Storage!F83</f>
        <v>156.42</v>
      </c>
    </row>
    <row r="72">
      <c r="A72" s="2" t="s">
        <v>109</v>
      </c>
      <c r="C72" s="2"/>
      <c r="D72" s="2"/>
      <c r="E72" s="2"/>
      <c r="F72" s="31">
        <f>F71-E71</f>
        <v>156.42</v>
      </c>
    </row>
    <row r="73">
      <c r="A73" s="2" t="s">
        <v>110</v>
      </c>
      <c r="C73" s="2"/>
      <c r="D73" s="2"/>
      <c r="E73" s="2"/>
      <c r="F73" s="31">
        <f>Storage!F86</f>
        <v>16617.20192</v>
      </c>
    </row>
    <row r="74">
      <c r="A74" s="2" t="s">
        <v>111</v>
      </c>
      <c r="C74" s="2"/>
      <c r="D74" s="2"/>
      <c r="E74" s="2"/>
      <c r="F74" s="31">
        <f>F73-E73</f>
        <v>16617.20192</v>
      </c>
      <c r="H74" s="2" t="s">
        <v>112</v>
      </c>
    </row>
    <row r="75">
      <c r="A75" s="2" t="s">
        <v>113</v>
      </c>
      <c r="C75" s="10">
        <f>G7</f>
        <v>0.1</v>
      </c>
      <c r="H75" s="37">
        <f>1-C$75</f>
        <v>0.9</v>
      </c>
    </row>
    <row r="76">
      <c r="A76" s="2" t="s">
        <v>114</v>
      </c>
      <c r="C76" s="10">
        <f>G6</f>
        <v>0.05</v>
      </c>
      <c r="H76" s="37">
        <f>1-C$76</f>
        <v>0.95</v>
      </c>
    </row>
    <row r="77">
      <c r="A77" s="2" t="s">
        <v>115</v>
      </c>
      <c r="C77" s="10">
        <f>(C75+C76)/2</f>
        <v>0.075</v>
      </c>
      <c r="H77" s="37">
        <f>1-C$77</f>
        <v>0.925</v>
      </c>
    </row>
    <row r="78">
      <c r="A78" s="38" t="s">
        <v>116</v>
      </c>
      <c r="B78" s="2"/>
      <c r="C78" s="26">
        <f>G13</f>
        <v>720</v>
      </c>
    </row>
    <row r="79">
      <c r="A79" s="1"/>
      <c r="B79" s="2"/>
    </row>
    <row r="80">
      <c r="A80" s="1" t="s">
        <v>117</v>
      </c>
      <c r="B80" s="2" t="s">
        <v>118</v>
      </c>
      <c r="C80" s="2">
        <v>5.0</v>
      </c>
      <c r="D80" s="2">
        <v>0.0</v>
      </c>
    </row>
    <row r="81">
      <c r="A81" s="1" t="s">
        <v>3</v>
      </c>
      <c r="B81" s="39">
        <f t="shared" ref="B81:E81" si="28">B$2</f>
        <v>2021</v>
      </c>
      <c r="C81" s="39">
        <f t="shared" si="28"/>
        <v>2022</v>
      </c>
      <c r="D81" s="39">
        <f t="shared" si="28"/>
        <v>2023</v>
      </c>
      <c r="E81" s="39">
        <f t="shared" si="28"/>
        <v>2024</v>
      </c>
      <c r="G81" s="3"/>
      <c r="H81" s="3"/>
      <c r="I81" s="3"/>
      <c r="J81" s="3"/>
      <c r="K81" s="3"/>
      <c r="L81" s="3"/>
      <c r="M81" s="3"/>
      <c r="N81" s="3"/>
      <c r="O81" s="3"/>
      <c r="P81" s="3"/>
      <c r="Q81" s="3"/>
      <c r="R81" s="3"/>
      <c r="S81" s="3"/>
      <c r="T81" s="3"/>
      <c r="U81" s="3"/>
      <c r="V81" s="3"/>
      <c r="W81" s="3"/>
      <c r="X81" s="3"/>
      <c r="Y81" s="3"/>
      <c r="Z81" s="3"/>
      <c r="AA81" s="3"/>
      <c r="AB81" s="3"/>
    </row>
    <row r="82">
      <c r="A82" s="2" t="s">
        <v>119</v>
      </c>
      <c r="B82" s="32">
        <f t="shared" ref="B82:E82" si="29">CEILING(C62/$D$26,1)</f>
        <v>69</v>
      </c>
      <c r="C82" s="32">
        <f t="shared" si="29"/>
        <v>0</v>
      </c>
      <c r="D82" s="32">
        <f t="shared" si="29"/>
        <v>150</v>
      </c>
      <c r="E82" s="32">
        <f t="shared" si="29"/>
        <v>546</v>
      </c>
      <c r="G82" s="2" t="s">
        <v>120</v>
      </c>
    </row>
    <row r="83">
      <c r="A83" s="1" t="s">
        <v>121</v>
      </c>
      <c r="B83" s="40">
        <f t="shared" ref="B83:E83" si="30">B82*$E$26</f>
        <v>690000</v>
      </c>
      <c r="C83" s="40">
        <f t="shared" si="30"/>
        <v>0</v>
      </c>
      <c r="D83" s="40">
        <f t="shared" si="30"/>
        <v>1500000</v>
      </c>
      <c r="E83" s="40">
        <f t="shared" si="30"/>
        <v>5460000</v>
      </c>
      <c r="G83" s="3"/>
      <c r="H83" s="3"/>
      <c r="I83" s="3"/>
      <c r="J83" s="3"/>
      <c r="K83" s="3"/>
      <c r="L83" s="3"/>
      <c r="M83" s="3"/>
      <c r="N83" s="3"/>
      <c r="O83" s="3"/>
      <c r="P83" s="3"/>
      <c r="Q83" s="3"/>
      <c r="R83" s="3"/>
      <c r="S83" s="3"/>
      <c r="T83" s="3"/>
      <c r="U83" s="3"/>
      <c r="V83" s="3"/>
      <c r="W83" s="3"/>
      <c r="X83" s="3"/>
      <c r="Y83" s="3"/>
      <c r="Z83" s="3"/>
      <c r="AA83" s="3"/>
      <c r="AB83" s="3"/>
    </row>
    <row r="84">
      <c r="A84" s="2"/>
      <c r="B84" s="41"/>
    </row>
    <row r="85">
      <c r="A85" s="2"/>
      <c r="B85" s="41"/>
    </row>
    <row r="86">
      <c r="A86" s="1" t="s">
        <v>122</v>
      </c>
      <c r="B86" s="2" t="s">
        <v>123</v>
      </c>
      <c r="C86" s="2">
        <v>5.0</v>
      </c>
      <c r="D86" s="2">
        <v>0.0</v>
      </c>
    </row>
    <row r="87">
      <c r="A87" s="1" t="s">
        <v>3</v>
      </c>
      <c r="B87" s="39">
        <f t="shared" ref="B87:E87" si="31">B$2</f>
        <v>2021</v>
      </c>
      <c r="C87" s="39">
        <f t="shared" si="31"/>
        <v>2022</v>
      </c>
      <c r="D87" s="39">
        <f t="shared" si="31"/>
        <v>2023</v>
      </c>
      <c r="E87" s="39">
        <f t="shared" si="31"/>
        <v>2024</v>
      </c>
      <c r="F87" s="3"/>
      <c r="G87" s="3"/>
      <c r="H87" s="3"/>
      <c r="I87" s="3"/>
      <c r="J87" s="3"/>
      <c r="K87" s="3"/>
      <c r="L87" s="3"/>
      <c r="M87" s="3"/>
      <c r="N87" s="3"/>
      <c r="O87" s="3"/>
      <c r="P87" s="3"/>
      <c r="Q87" s="3"/>
      <c r="R87" s="3"/>
      <c r="S87" s="3"/>
      <c r="T87" s="3"/>
      <c r="U87" s="3"/>
      <c r="V87" s="3"/>
      <c r="W87" s="3"/>
      <c r="X87" s="3"/>
      <c r="Y87" s="3"/>
      <c r="Z87" s="3"/>
      <c r="AA87" s="3"/>
      <c r="AB87" s="3"/>
    </row>
    <row r="88">
      <c r="A88" s="2" t="s">
        <v>124</v>
      </c>
      <c r="B88" s="32">
        <f>roundup(C51/$D$28,0)</f>
        <v>49</v>
      </c>
      <c r="C88" s="32">
        <f>D51/$D$28</f>
        <v>0</v>
      </c>
      <c r="D88" s="32">
        <f>roundup(E51/$D$28,0)</f>
        <v>75</v>
      </c>
      <c r="E88" s="32">
        <f>roundup(F62/$D$28,0)</f>
        <v>388</v>
      </c>
    </row>
    <row r="89">
      <c r="A89" s="2" t="s">
        <v>125</v>
      </c>
      <c r="B89" s="42">
        <f t="shared" ref="B89:E89" si="32">B88*$E$28</f>
        <v>637000</v>
      </c>
      <c r="C89" s="42">
        <f t="shared" si="32"/>
        <v>0</v>
      </c>
      <c r="D89" s="42">
        <f t="shared" si="32"/>
        <v>975000</v>
      </c>
      <c r="E89" s="42">
        <f t="shared" si="32"/>
        <v>5044000</v>
      </c>
    </row>
    <row r="90">
      <c r="A90" s="2" t="s">
        <v>126</v>
      </c>
      <c r="B90" s="32">
        <f>roundup(C51/$D$29,0)</f>
        <v>16</v>
      </c>
      <c r="C90" s="32">
        <f>D51/$D$29</f>
        <v>0</v>
      </c>
      <c r="D90" s="32">
        <f>roundup(E51/$D$29,0)</f>
        <v>25</v>
      </c>
      <c r="E90" s="32">
        <f>roundup(F62/$D$29,0)</f>
        <v>127</v>
      </c>
    </row>
    <row r="91">
      <c r="A91" s="1" t="s">
        <v>127</v>
      </c>
      <c r="B91" s="40">
        <f t="shared" ref="B91:E91" si="33">B90*$E$29</f>
        <v>208000</v>
      </c>
      <c r="C91" s="40">
        <f t="shared" si="33"/>
        <v>0</v>
      </c>
      <c r="D91" s="40">
        <f t="shared" si="33"/>
        <v>325000</v>
      </c>
      <c r="E91" s="40">
        <f t="shared" si="33"/>
        <v>1651000</v>
      </c>
    </row>
    <row r="94">
      <c r="A94" s="1" t="s">
        <v>128</v>
      </c>
      <c r="B94" s="2" t="s">
        <v>129</v>
      </c>
      <c r="C94" s="2">
        <v>5.0</v>
      </c>
      <c r="D94" s="2">
        <v>0.0</v>
      </c>
    </row>
    <row r="95">
      <c r="A95" s="1" t="s">
        <v>3</v>
      </c>
      <c r="B95" s="39">
        <f t="shared" ref="B95:E95" si="34">B$2</f>
        <v>2021</v>
      </c>
      <c r="C95" s="39">
        <f t="shared" si="34"/>
        <v>2022</v>
      </c>
      <c r="D95" s="39">
        <f t="shared" si="34"/>
        <v>2023</v>
      </c>
      <c r="E95" s="39">
        <f t="shared" si="34"/>
        <v>2024</v>
      </c>
      <c r="F95" s="3"/>
      <c r="G95" s="3"/>
      <c r="H95" s="3"/>
      <c r="I95" s="3"/>
      <c r="J95" s="3"/>
      <c r="K95" s="3"/>
      <c r="L95" s="3"/>
      <c r="M95" s="3"/>
      <c r="N95" s="3"/>
      <c r="O95" s="3"/>
      <c r="P95" s="3"/>
      <c r="Q95" s="3"/>
      <c r="R95" s="3"/>
      <c r="S95" s="3"/>
      <c r="T95" s="3"/>
      <c r="U95" s="3"/>
      <c r="V95" s="3"/>
      <c r="W95" s="3"/>
      <c r="X95" s="3"/>
      <c r="Y95" s="3"/>
      <c r="Z95" s="3"/>
      <c r="AA95" s="3"/>
      <c r="AB95" s="3"/>
    </row>
    <row r="96">
      <c r="A96" s="2" t="s">
        <v>130</v>
      </c>
      <c r="B96" s="42">
        <f t="shared" ref="B96:E96" si="35">(C64)*$B$35</f>
        <v>4736.842105</v>
      </c>
      <c r="C96" s="42">
        <f t="shared" si="35"/>
        <v>4736.842105</v>
      </c>
      <c r="D96" s="42">
        <f t="shared" si="35"/>
        <v>10428</v>
      </c>
      <c r="E96" s="42">
        <f t="shared" si="35"/>
        <v>62568</v>
      </c>
    </row>
    <row r="97">
      <c r="A97" s="2" t="s">
        <v>131</v>
      </c>
      <c r="B97" s="43">
        <f t="shared" ref="B97:E97" si="36">C72*$B$35</f>
        <v>0</v>
      </c>
      <c r="C97" s="43">
        <f t="shared" si="36"/>
        <v>0</v>
      </c>
      <c r="D97" s="43">
        <f t="shared" si="36"/>
        <v>0</v>
      </c>
      <c r="E97" s="43">
        <f t="shared" si="36"/>
        <v>62568</v>
      </c>
    </row>
    <row r="98">
      <c r="A98" s="2" t="s">
        <v>132</v>
      </c>
      <c r="B98" s="42">
        <f t="shared" ref="B98:E98" si="37">C66*$B$36</f>
        <v>32677.22708</v>
      </c>
      <c r="C98" s="42">
        <f t="shared" si="37"/>
        <v>4770.252697</v>
      </c>
      <c r="D98" s="42">
        <f t="shared" si="37"/>
        <v>216622.6987</v>
      </c>
      <c r="E98" s="42">
        <f t="shared" si="37"/>
        <v>1221576.679</v>
      </c>
    </row>
    <row r="99">
      <c r="A99" s="2" t="s">
        <v>133</v>
      </c>
      <c r="B99" s="42">
        <f t="shared" ref="B99:E99" si="38">C68*$B$37</f>
        <v>22296.42149</v>
      </c>
      <c r="C99" s="42">
        <f t="shared" si="38"/>
        <v>39018.7376</v>
      </c>
      <c r="D99" s="42">
        <f t="shared" si="38"/>
        <v>178711.6985</v>
      </c>
      <c r="E99" s="42">
        <f t="shared" si="38"/>
        <v>923177.2769</v>
      </c>
    </row>
    <row r="100">
      <c r="A100" s="2" t="s">
        <v>134</v>
      </c>
      <c r="B100" s="42">
        <f t="shared" ref="B100:E100" si="39">C74*$B$37</f>
        <v>0</v>
      </c>
      <c r="C100" s="42">
        <f t="shared" si="39"/>
        <v>0</v>
      </c>
      <c r="D100" s="42">
        <f t="shared" si="39"/>
        <v>0</v>
      </c>
      <c r="E100" s="42">
        <f t="shared" si="39"/>
        <v>1163204.134</v>
      </c>
    </row>
    <row r="101">
      <c r="A101" s="2" t="s">
        <v>135</v>
      </c>
      <c r="B101" s="42">
        <f t="shared" ref="B101:E101" si="40">C70*$B$38</f>
        <v>42216.9504</v>
      </c>
      <c r="C101" s="42">
        <f t="shared" si="40"/>
        <v>47022.07471</v>
      </c>
      <c r="D101" s="42">
        <f t="shared" si="40"/>
        <v>117591.8185</v>
      </c>
      <c r="E101" s="42">
        <f t="shared" si="40"/>
        <v>426563.4745</v>
      </c>
    </row>
    <row r="102">
      <c r="A102" s="1" t="s">
        <v>136</v>
      </c>
      <c r="B102" s="40">
        <f t="shared" ref="B102:E102" si="41">sum(B96:B101)</f>
        <v>101927.4411</v>
      </c>
      <c r="C102" s="40">
        <f t="shared" si="41"/>
        <v>95547.90711</v>
      </c>
      <c r="D102" s="40">
        <f t="shared" si="41"/>
        <v>523354.2156</v>
      </c>
      <c r="E102" s="40">
        <f t="shared" si="41"/>
        <v>3859657.565</v>
      </c>
      <c r="F102" s="3"/>
      <c r="G102" s="3"/>
      <c r="H102" s="3"/>
      <c r="I102" s="3"/>
      <c r="J102" s="3"/>
      <c r="K102" s="3"/>
      <c r="L102" s="3"/>
      <c r="M102" s="3"/>
      <c r="N102" s="3"/>
      <c r="O102" s="3"/>
      <c r="P102" s="3"/>
      <c r="Q102" s="3"/>
      <c r="R102" s="3"/>
      <c r="S102" s="3"/>
      <c r="T102" s="3"/>
      <c r="U102" s="3"/>
      <c r="V102" s="3"/>
      <c r="W102" s="3"/>
      <c r="X102" s="3"/>
      <c r="Y102" s="3"/>
      <c r="Z102" s="3"/>
      <c r="AA102" s="3"/>
      <c r="AB102" s="3"/>
    </row>
    <row r="104">
      <c r="A104" s="2" t="s">
        <v>137</v>
      </c>
      <c r="B104" s="44" t="s">
        <v>138</v>
      </c>
      <c r="C104" s="2">
        <v>5.0</v>
      </c>
      <c r="D104" s="2">
        <v>0.0</v>
      </c>
    </row>
    <row r="105">
      <c r="A105" s="1" t="s">
        <v>3</v>
      </c>
      <c r="B105" s="39">
        <f t="shared" ref="B105:E105" si="42">B$2</f>
        <v>2021</v>
      </c>
      <c r="C105" s="39">
        <f t="shared" si="42"/>
        <v>2022</v>
      </c>
      <c r="D105" s="39">
        <f t="shared" si="42"/>
        <v>2023</v>
      </c>
      <c r="E105" s="39">
        <f t="shared" si="42"/>
        <v>2024</v>
      </c>
      <c r="F105" s="3"/>
      <c r="G105" s="3"/>
      <c r="H105" s="3"/>
      <c r="I105" s="3"/>
      <c r="J105" s="3"/>
      <c r="K105" s="3"/>
      <c r="L105" s="3"/>
      <c r="M105" s="3"/>
      <c r="N105" s="3"/>
      <c r="O105" s="3"/>
      <c r="P105" s="3"/>
      <c r="Q105" s="3"/>
      <c r="R105" s="3"/>
      <c r="S105" s="3"/>
      <c r="T105" s="3"/>
      <c r="U105" s="3"/>
      <c r="V105" s="3"/>
      <c r="W105" s="3"/>
      <c r="X105" s="3"/>
      <c r="Y105" s="3"/>
      <c r="Z105" s="3"/>
      <c r="AA105" s="3"/>
      <c r="AB105" s="3"/>
    </row>
    <row r="106">
      <c r="A106" s="2" t="s">
        <v>139</v>
      </c>
      <c r="B106" s="45">
        <f t="shared" ref="B106:E106" si="43">C62-C57</f>
        <v>1836.115691</v>
      </c>
      <c r="C106" s="45">
        <f t="shared" si="43"/>
        <v>0</v>
      </c>
      <c r="D106" s="45">
        <f t="shared" si="43"/>
        <v>4025.770672</v>
      </c>
      <c r="E106" s="45">
        <f t="shared" si="43"/>
        <v>14614.35554</v>
      </c>
    </row>
    <row r="107">
      <c r="A107" s="2" t="s">
        <v>140</v>
      </c>
      <c r="B107" s="45">
        <f>B51+C51+C54</f>
        <v>3528.115691</v>
      </c>
      <c r="C107" s="33">
        <f t="shared" ref="C107:E107" si="44">B107+C106</f>
        <v>3528.115691</v>
      </c>
      <c r="D107" s="33">
        <f t="shared" si="44"/>
        <v>7553.886363</v>
      </c>
      <c r="E107" s="33">
        <f t="shared" si="44"/>
        <v>22168.24191</v>
      </c>
    </row>
    <row r="108">
      <c r="A108" s="2" t="s">
        <v>141</v>
      </c>
      <c r="B108" s="45">
        <f t="shared" ref="B108:E108" si="45">CEILING(B107/$B$26,1)+C58</f>
        <v>111</v>
      </c>
      <c r="C108" s="45">
        <f t="shared" si="45"/>
        <v>111</v>
      </c>
      <c r="D108" s="45">
        <f t="shared" si="45"/>
        <v>251</v>
      </c>
      <c r="E108" s="45">
        <f t="shared" si="45"/>
        <v>788</v>
      </c>
    </row>
    <row r="109">
      <c r="A109" s="2" t="s">
        <v>142</v>
      </c>
      <c r="B109" s="46">
        <f t="shared" ref="B109:E109" si="46">B108*$B$123</f>
        <v>62802.27222</v>
      </c>
      <c r="C109" s="46">
        <f t="shared" si="46"/>
        <v>62802.27222</v>
      </c>
      <c r="D109" s="46">
        <f t="shared" si="46"/>
        <v>142012.3453</v>
      </c>
      <c r="E109" s="46">
        <f t="shared" si="46"/>
        <v>445839.5542</v>
      </c>
    </row>
    <row r="110">
      <c r="A110" s="2" t="s">
        <v>143</v>
      </c>
      <c r="B110" s="45">
        <f t="shared" ref="B110:E110" si="47">ceiling(B106/$B$26,1)+C59</f>
        <v>58</v>
      </c>
      <c r="C110" s="45">
        <f t="shared" si="47"/>
        <v>0</v>
      </c>
      <c r="D110" s="45">
        <f t="shared" si="47"/>
        <v>140</v>
      </c>
      <c r="E110" s="45">
        <f t="shared" si="47"/>
        <v>538</v>
      </c>
    </row>
    <row r="111">
      <c r="A111" s="2" t="s">
        <v>144</v>
      </c>
      <c r="B111" s="44">
        <f t="shared" ref="B111:E111" si="48">ceiling(B110/$B$117,1)</f>
        <v>2</v>
      </c>
      <c r="C111" s="44">
        <f t="shared" si="48"/>
        <v>0</v>
      </c>
      <c r="D111" s="44">
        <f t="shared" si="48"/>
        <v>4</v>
      </c>
      <c r="E111" s="44">
        <f t="shared" si="48"/>
        <v>15</v>
      </c>
    </row>
    <row r="112">
      <c r="A112" s="2" t="s">
        <v>145</v>
      </c>
      <c r="B112" s="47">
        <f t="shared" ref="B112:E112" si="49">B111*$B$118</f>
        <v>48000</v>
      </c>
      <c r="C112" s="47">
        <f t="shared" si="49"/>
        <v>0</v>
      </c>
      <c r="D112" s="47">
        <f t="shared" si="49"/>
        <v>96000</v>
      </c>
      <c r="E112" s="47">
        <f t="shared" si="49"/>
        <v>360000</v>
      </c>
    </row>
    <row r="113">
      <c r="A113" s="1" t="s">
        <v>146</v>
      </c>
      <c r="B113" s="48">
        <f t="shared" ref="B113:E113" si="50">B112+B109</f>
        <v>110802.2722</v>
      </c>
      <c r="C113" s="48">
        <f t="shared" si="50"/>
        <v>62802.27222</v>
      </c>
      <c r="D113" s="48">
        <f t="shared" si="50"/>
        <v>238012.3453</v>
      </c>
      <c r="E113" s="48">
        <f t="shared" si="50"/>
        <v>805839.5542</v>
      </c>
      <c r="F113" s="3"/>
      <c r="G113" s="3"/>
      <c r="H113" s="3"/>
      <c r="I113" s="3"/>
      <c r="J113" s="3"/>
      <c r="K113" s="3"/>
      <c r="L113" s="3"/>
      <c r="M113" s="3"/>
      <c r="N113" s="3"/>
      <c r="O113" s="3"/>
      <c r="P113" s="3"/>
      <c r="Q113" s="3"/>
      <c r="R113" s="3"/>
      <c r="S113" s="3"/>
      <c r="T113" s="3"/>
      <c r="U113" s="3"/>
      <c r="V113" s="3"/>
      <c r="W113" s="3"/>
      <c r="X113" s="3"/>
      <c r="Y113" s="3"/>
      <c r="Z113" s="3"/>
      <c r="AA113" s="3"/>
      <c r="AB113" s="3"/>
    </row>
    <row r="114">
      <c r="A114" s="2"/>
      <c r="B114" s="44"/>
      <c r="C114" s="2"/>
      <c r="D114" s="2"/>
    </row>
    <row r="115">
      <c r="A115" s="2" t="s">
        <v>147</v>
      </c>
      <c r="B115" s="44" t="s">
        <v>148</v>
      </c>
      <c r="C115" s="2">
        <v>2.0</v>
      </c>
      <c r="D115" s="2">
        <v>0.0</v>
      </c>
    </row>
    <row r="116">
      <c r="A116" s="1" t="s">
        <v>149</v>
      </c>
      <c r="B116" s="1" t="s">
        <v>150</v>
      </c>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2" t="s">
        <v>151</v>
      </c>
      <c r="B117" s="2">
        <v>36.0</v>
      </c>
    </row>
    <row r="118">
      <c r="A118" s="2" t="s">
        <v>152</v>
      </c>
      <c r="B118" s="12">
        <v>24000.0</v>
      </c>
    </row>
    <row r="119">
      <c r="A119" s="2" t="s">
        <v>153</v>
      </c>
      <c r="B119" s="7">
        <f>300 </f>
        <v>300</v>
      </c>
      <c r="C119" s="2"/>
      <c r="D119" s="2" t="s">
        <v>154</v>
      </c>
    </row>
    <row r="120">
      <c r="A120" s="2" t="s">
        <v>155</v>
      </c>
      <c r="B120" s="7">
        <f> 0.5*0.0794*8760</f>
        <v>347.772</v>
      </c>
      <c r="C120" s="2"/>
    </row>
    <row r="121">
      <c r="A121" s="2" t="s">
        <v>156</v>
      </c>
      <c r="B121" s="7">
        <f>0.5*14.03*8760*0.003412142</f>
        <v>209.6809029</v>
      </c>
      <c r="C121" s="2"/>
      <c r="D121" s="2" t="s">
        <v>154</v>
      </c>
    </row>
    <row r="122">
      <c r="A122" s="2" t="s">
        <v>157</v>
      </c>
      <c r="B122" s="7">
        <f>E26*0.15</f>
        <v>1500</v>
      </c>
      <c r="C122" s="2"/>
    </row>
    <row r="123">
      <c r="A123" s="2" t="s">
        <v>158</v>
      </c>
      <c r="B123" s="49">
        <f>B119/B117+B120+B121</f>
        <v>565.7862362</v>
      </c>
    </row>
    <row r="124">
      <c r="A124" s="2" t="s">
        <v>159</v>
      </c>
      <c r="B124" s="7">
        <v>35000.0</v>
      </c>
      <c r="C124" s="2"/>
    </row>
    <row r="125">
      <c r="A125" s="2" t="s">
        <v>160</v>
      </c>
      <c r="B125" s="50">
        <v>14600.0</v>
      </c>
      <c r="C125" s="2" t="s">
        <v>161</v>
      </c>
    </row>
    <row r="126">
      <c r="A126" s="2" t="s">
        <v>162</v>
      </c>
      <c r="B126" s="2">
        <v>8.0</v>
      </c>
    </row>
    <row r="127">
      <c r="A127" s="2" t="s">
        <v>163</v>
      </c>
      <c r="B127" s="2">
        <v>3.0</v>
      </c>
    </row>
    <row r="128">
      <c r="A128" s="2" t="s">
        <v>164</v>
      </c>
      <c r="B128" s="2">
        <v>5.0</v>
      </c>
    </row>
    <row r="129" ht="21.0" customHeight="1">
      <c r="A129" s="2" t="s">
        <v>165</v>
      </c>
      <c r="B129" s="2">
        <v>105.65</v>
      </c>
    </row>
    <row r="130">
      <c r="A130" s="2" t="s">
        <v>166</v>
      </c>
      <c r="B130" s="2">
        <v>2.0</v>
      </c>
      <c r="C130" s="2" t="s">
        <v>167</v>
      </c>
      <c r="D130" s="2" t="s">
        <v>168</v>
      </c>
    </row>
    <row r="131">
      <c r="A131" s="2" t="s">
        <v>169</v>
      </c>
      <c r="B131" s="2">
        <f>2600/3412</f>
        <v>0.7620164127</v>
      </c>
      <c r="C131" s="2" t="s">
        <v>167</v>
      </c>
      <c r="D131" s="51" t="s">
        <v>170</v>
      </c>
    </row>
  </sheetData>
  <hyperlinks>
    <hyperlink r:id="rId2" ref="F28"/>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s>
  <sheetData>
    <row r="1">
      <c r="A1" s="52"/>
    </row>
    <row r="2">
      <c r="A2" s="53" t="s">
        <v>171</v>
      </c>
      <c r="B2" s="2" t="s">
        <v>172</v>
      </c>
      <c r="C2" s="2">
        <v>12.0</v>
      </c>
      <c r="D2" s="2">
        <v>0.0</v>
      </c>
      <c r="E2" s="2" t="s">
        <v>173</v>
      </c>
      <c r="F2" s="2"/>
      <c r="G2" s="2"/>
    </row>
    <row r="3">
      <c r="A3" s="54" t="s">
        <v>174</v>
      </c>
      <c r="B3" s="5">
        <v>2024.0</v>
      </c>
      <c r="C3" s="5">
        <f t="shared" ref="C3:M3" si="1">B3+1</f>
        <v>2025</v>
      </c>
      <c r="D3" s="5">
        <f t="shared" si="1"/>
        <v>2026</v>
      </c>
      <c r="E3" s="5">
        <f t="shared" si="1"/>
        <v>2027</v>
      </c>
      <c r="F3" s="5">
        <f t="shared" si="1"/>
        <v>2028</v>
      </c>
      <c r="G3" s="5">
        <f t="shared" si="1"/>
        <v>2029</v>
      </c>
      <c r="H3" s="5">
        <f t="shared" si="1"/>
        <v>2030</v>
      </c>
      <c r="I3" s="5">
        <f t="shared" si="1"/>
        <v>2031</v>
      </c>
      <c r="J3" s="5">
        <f t="shared" si="1"/>
        <v>2032</v>
      </c>
      <c r="K3" s="5">
        <f t="shared" si="1"/>
        <v>2033</v>
      </c>
      <c r="L3" s="5">
        <f t="shared" si="1"/>
        <v>2034</v>
      </c>
      <c r="M3" s="5">
        <f t="shared" si="1"/>
        <v>2035</v>
      </c>
    </row>
    <row r="4">
      <c r="A4" s="55" t="s">
        <v>175</v>
      </c>
      <c r="B4" s="7">
        <v>80000.0</v>
      </c>
      <c r="C4" s="7">
        <v>80000.0</v>
      </c>
      <c r="D4" s="7">
        <v>80000.0</v>
      </c>
      <c r="E4" s="7">
        <v>80000.0</v>
      </c>
      <c r="F4" s="7">
        <v>80000.0</v>
      </c>
      <c r="G4" s="7">
        <v>80000.0</v>
      </c>
      <c r="H4" s="7">
        <v>80000.0</v>
      </c>
      <c r="I4" s="7">
        <v>80000.0</v>
      </c>
      <c r="J4" s="7">
        <v>80000.0</v>
      </c>
      <c r="K4" s="7">
        <v>80000.0</v>
      </c>
      <c r="L4" s="7">
        <v>80000.0</v>
      </c>
      <c r="M4" s="7">
        <v>80000.0</v>
      </c>
    </row>
    <row r="5">
      <c r="A5" s="55" t="s">
        <v>176</v>
      </c>
      <c r="B5" s="7">
        <v>20000.0</v>
      </c>
      <c r="C5" s="7">
        <v>20000.0</v>
      </c>
      <c r="D5" s="7">
        <v>20000.0</v>
      </c>
      <c r="E5" s="7">
        <v>20000.0</v>
      </c>
      <c r="F5" s="7">
        <v>20000.0</v>
      </c>
      <c r="G5" s="7">
        <v>20000.0</v>
      </c>
      <c r="H5" s="7">
        <v>20000.0</v>
      </c>
      <c r="I5" s="7">
        <v>20000.0</v>
      </c>
      <c r="J5" s="7">
        <v>20000.0</v>
      </c>
      <c r="K5" s="7">
        <v>20000.0</v>
      </c>
      <c r="L5" s="7">
        <v>20000.0</v>
      </c>
      <c r="M5" s="7">
        <v>20000.0</v>
      </c>
    </row>
    <row r="6">
      <c r="A6" s="55" t="s">
        <v>177</v>
      </c>
      <c r="B6" s="7">
        <v>10000.0</v>
      </c>
      <c r="C6" s="7">
        <v>10000.0</v>
      </c>
      <c r="D6" s="7">
        <v>10000.0</v>
      </c>
      <c r="E6" s="7">
        <v>10000.0</v>
      </c>
      <c r="F6" s="7">
        <v>10000.0</v>
      </c>
      <c r="G6" s="7">
        <v>10000.0</v>
      </c>
      <c r="H6" s="7">
        <v>10000.0</v>
      </c>
      <c r="I6" s="7">
        <v>10000.0</v>
      </c>
      <c r="J6" s="7">
        <v>10000.0</v>
      </c>
      <c r="K6" s="7">
        <v>10000.0</v>
      </c>
      <c r="L6" s="2">
        <v>0.0</v>
      </c>
    </row>
    <row r="7">
      <c r="A7" s="53" t="s">
        <v>136</v>
      </c>
      <c r="B7" s="56">
        <f t="shared" ref="B7:M7" si="2">sum(B4:B6)</f>
        <v>110000</v>
      </c>
      <c r="C7" s="56">
        <f t="shared" si="2"/>
        <v>110000</v>
      </c>
      <c r="D7" s="56">
        <f t="shared" si="2"/>
        <v>110000</v>
      </c>
      <c r="E7" s="56">
        <f t="shared" si="2"/>
        <v>110000</v>
      </c>
      <c r="F7" s="56">
        <f t="shared" si="2"/>
        <v>110000</v>
      </c>
      <c r="G7" s="56">
        <f t="shared" si="2"/>
        <v>110000</v>
      </c>
      <c r="H7" s="56">
        <f t="shared" si="2"/>
        <v>110000</v>
      </c>
      <c r="I7" s="56">
        <f t="shared" si="2"/>
        <v>110000</v>
      </c>
      <c r="J7" s="56">
        <f t="shared" si="2"/>
        <v>110000</v>
      </c>
      <c r="K7" s="56">
        <f t="shared" si="2"/>
        <v>110000</v>
      </c>
      <c r="L7" s="56">
        <f t="shared" si="2"/>
        <v>100000</v>
      </c>
      <c r="M7" s="56">
        <f t="shared" si="2"/>
        <v>100000</v>
      </c>
      <c r="N7" s="3"/>
      <c r="O7" s="3"/>
      <c r="P7" s="3"/>
      <c r="Q7" s="3"/>
      <c r="R7" s="3"/>
      <c r="S7" s="3"/>
      <c r="T7" s="3"/>
      <c r="U7" s="3"/>
      <c r="V7" s="3"/>
      <c r="W7" s="3"/>
      <c r="X7" s="3"/>
      <c r="Y7" s="3"/>
      <c r="Z7" s="3"/>
      <c r="AA7" s="3"/>
      <c r="AB7" s="3"/>
    </row>
    <row r="8">
      <c r="A8" s="52"/>
      <c r="B8" s="49"/>
      <c r="C8" s="49"/>
      <c r="D8" s="49"/>
      <c r="E8" s="49"/>
      <c r="F8" s="49"/>
      <c r="G8" s="49"/>
      <c r="H8" s="49"/>
      <c r="I8" s="49"/>
      <c r="J8" s="49"/>
      <c r="K8" s="49"/>
    </row>
    <row r="9">
      <c r="A9" s="52"/>
      <c r="B9" s="49"/>
      <c r="C9" s="49"/>
      <c r="D9" s="49"/>
      <c r="E9" s="49"/>
      <c r="F9" s="49"/>
      <c r="G9" s="49"/>
      <c r="H9" s="49"/>
      <c r="I9" s="49"/>
      <c r="J9" s="49"/>
      <c r="K9" s="49"/>
    </row>
    <row r="10">
      <c r="A10" s="52"/>
      <c r="B10" s="49"/>
      <c r="C10" s="49"/>
      <c r="D10" s="49"/>
      <c r="E10" s="49"/>
      <c r="F10" s="49"/>
      <c r="G10" s="49"/>
      <c r="H10" s="49"/>
      <c r="I10" s="49"/>
      <c r="J10" s="49"/>
      <c r="K10" s="49"/>
    </row>
    <row r="11">
      <c r="A11" s="55" t="s">
        <v>178</v>
      </c>
      <c r="B11" s="57">
        <f t="shared" ref="B11:M11" si="3">B7/1000000</f>
        <v>0.11</v>
      </c>
      <c r="C11" s="57">
        <f t="shared" si="3"/>
        <v>0.11</v>
      </c>
      <c r="D11" s="57">
        <f t="shared" si="3"/>
        <v>0.11</v>
      </c>
      <c r="E11" s="57">
        <f t="shared" si="3"/>
        <v>0.11</v>
      </c>
      <c r="F11" s="57">
        <f t="shared" si="3"/>
        <v>0.11</v>
      </c>
      <c r="G11" s="57">
        <f t="shared" si="3"/>
        <v>0.11</v>
      </c>
      <c r="H11" s="57">
        <f t="shared" si="3"/>
        <v>0.11</v>
      </c>
      <c r="I11" s="57">
        <f t="shared" si="3"/>
        <v>0.11</v>
      </c>
      <c r="J11" s="57">
        <f t="shared" si="3"/>
        <v>0.11</v>
      </c>
      <c r="K11" s="57">
        <f t="shared" si="3"/>
        <v>0.11</v>
      </c>
      <c r="L11" s="57">
        <f t="shared" si="3"/>
        <v>0.1</v>
      </c>
      <c r="M11" s="57">
        <f t="shared" si="3"/>
        <v>0.1</v>
      </c>
    </row>
    <row r="12">
      <c r="A12" s="52"/>
    </row>
    <row r="13">
      <c r="A13" s="52"/>
      <c r="B13" s="2" t="s">
        <v>179</v>
      </c>
      <c r="C13" s="2" t="s">
        <v>180</v>
      </c>
    </row>
    <row r="14">
      <c r="A14" s="52"/>
    </row>
    <row r="15">
      <c r="A15" s="53" t="s">
        <v>181</v>
      </c>
      <c r="B15" s="2" t="s">
        <v>182</v>
      </c>
      <c r="C15" s="2">
        <v>4.0</v>
      </c>
      <c r="D15" s="2">
        <v>0.0</v>
      </c>
      <c r="E15" s="2" t="s">
        <v>183</v>
      </c>
    </row>
    <row r="16">
      <c r="A16" s="58" t="s">
        <v>184</v>
      </c>
      <c r="B16" s="59" t="s">
        <v>185</v>
      </c>
      <c r="C16" s="59" t="s">
        <v>186</v>
      </c>
      <c r="D16" s="59" t="s">
        <v>187</v>
      </c>
    </row>
    <row r="17">
      <c r="A17" s="60" t="s">
        <v>188</v>
      </c>
      <c r="B17" s="61">
        <v>500.0</v>
      </c>
      <c r="C17" s="61">
        <v>600.0</v>
      </c>
      <c r="D17" s="61">
        <v>750.0</v>
      </c>
    </row>
    <row r="18">
      <c r="A18" s="60" t="s">
        <v>189</v>
      </c>
      <c r="B18" s="61">
        <v>500.0</v>
      </c>
      <c r="C18" s="61">
        <v>1000.0</v>
      </c>
      <c r="D18" s="61">
        <v>1500.0</v>
      </c>
    </row>
    <row r="19">
      <c r="A19" s="60" t="s">
        <v>190</v>
      </c>
      <c r="B19" s="61">
        <v>360.0</v>
      </c>
      <c r="C19" s="61">
        <v>460.0</v>
      </c>
      <c r="D19" s="61">
        <v>560.0</v>
      </c>
    </row>
    <row r="20">
      <c r="A20" s="60" t="s">
        <v>191</v>
      </c>
      <c r="B20" s="61">
        <v>2.7</v>
      </c>
      <c r="C20" s="61">
        <v>2.7</v>
      </c>
      <c r="D20" s="61">
        <v>2.7</v>
      </c>
    </row>
    <row r="21">
      <c r="A21" s="60" t="s">
        <v>192</v>
      </c>
      <c r="B21" s="61">
        <v>400.0</v>
      </c>
      <c r="C21" s="61">
        <v>800.0</v>
      </c>
      <c r="D21" s="61">
        <v>1200.0</v>
      </c>
    </row>
    <row r="22">
      <c r="A22" s="55" t="s">
        <v>193</v>
      </c>
      <c r="B22" s="26">
        <f t="shared" ref="B22:D22" si="4">B17*B19/1000</f>
        <v>180</v>
      </c>
      <c r="C22" s="26">
        <f t="shared" si="4"/>
        <v>276</v>
      </c>
      <c r="D22" s="26">
        <f t="shared" si="4"/>
        <v>420</v>
      </c>
    </row>
    <row r="23">
      <c r="A23" s="52"/>
    </row>
    <row r="24">
      <c r="A24" s="52"/>
    </row>
    <row r="25">
      <c r="A25" s="52"/>
    </row>
    <row r="26">
      <c r="A26" s="52"/>
    </row>
    <row r="27">
      <c r="A27" s="52"/>
    </row>
    <row r="28">
      <c r="A28" s="52"/>
    </row>
    <row r="29">
      <c r="A29" s="52"/>
    </row>
    <row r="30">
      <c r="A30" s="52"/>
    </row>
    <row r="31">
      <c r="A31" s="52"/>
    </row>
    <row r="32">
      <c r="A32" s="52"/>
    </row>
    <row r="33">
      <c r="A33" s="52"/>
    </row>
    <row r="34">
      <c r="A34" s="52"/>
    </row>
    <row r="35">
      <c r="A35" s="52"/>
    </row>
    <row r="36">
      <c r="A36" s="52"/>
    </row>
    <row r="37">
      <c r="A37" s="52"/>
    </row>
    <row r="38">
      <c r="A38" s="52"/>
    </row>
    <row r="39">
      <c r="A39" s="52"/>
    </row>
    <row r="40">
      <c r="A40" s="52"/>
    </row>
    <row r="41">
      <c r="A41" s="52"/>
    </row>
    <row r="42">
      <c r="A42" s="52"/>
    </row>
    <row r="43">
      <c r="A43" s="52"/>
    </row>
    <row r="44">
      <c r="A44" s="52"/>
    </row>
    <row r="45">
      <c r="A45" s="52"/>
    </row>
    <row r="46">
      <c r="A46" s="52"/>
    </row>
    <row r="47">
      <c r="A47" s="52"/>
    </row>
    <row r="48">
      <c r="A48" s="52"/>
    </row>
    <row r="49">
      <c r="A49" s="52"/>
    </row>
    <row r="50">
      <c r="A50" s="52"/>
    </row>
    <row r="51">
      <c r="A51" s="52"/>
    </row>
    <row r="52">
      <c r="A52" s="52"/>
    </row>
    <row r="53">
      <c r="A53" s="52"/>
    </row>
    <row r="54">
      <c r="A54" s="52"/>
    </row>
    <row r="55">
      <c r="A55" s="52"/>
    </row>
    <row r="56">
      <c r="A56" s="52"/>
    </row>
    <row r="57">
      <c r="A57" s="52"/>
    </row>
    <row r="58">
      <c r="A58" s="52"/>
    </row>
    <row r="59">
      <c r="A59" s="52"/>
    </row>
    <row r="60">
      <c r="A60" s="52"/>
    </row>
    <row r="61">
      <c r="A61" s="52"/>
    </row>
    <row r="62">
      <c r="A62" s="52"/>
    </row>
    <row r="63">
      <c r="A63" s="52"/>
    </row>
    <row r="64">
      <c r="A64" s="52"/>
    </row>
    <row r="65">
      <c r="A65" s="52"/>
    </row>
    <row r="66">
      <c r="A66" s="52"/>
    </row>
    <row r="67">
      <c r="A67" s="52"/>
    </row>
    <row r="68">
      <c r="A68" s="52"/>
    </row>
    <row r="69">
      <c r="A69" s="52"/>
    </row>
    <row r="70">
      <c r="A70" s="52"/>
    </row>
    <row r="71">
      <c r="A71" s="52"/>
    </row>
    <row r="72">
      <c r="A72" s="52"/>
    </row>
    <row r="73">
      <c r="A73" s="52"/>
    </row>
    <row r="74">
      <c r="A74" s="52"/>
    </row>
    <row r="75">
      <c r="A75" s="52"/>
    </row>
    <row r="76">
      <c r="A76" s="52"/>
    </row>
    <row r="77">
      <c r="A77" s="52"/>
    </row>
    <row r="78">
      <c r="A78" s="52"/>
    </row>
    <row r="79">
      <c r="A79" s="52"/>
    </row>
    <row r="80">
      <c r="A80" s="52"/>
    </row>
    <row r="81">
      <c r="A81" s="52"/>
    </row>
    <row r="82">
      <c r="A82" s="52"/>
    </row>
    <row r="83">
      <c r="A83" s="52"/>
    </row>
    <row r="84">
      <c r="A84" s="52"/>
    </row>
    <row r="85">
      <c r="A85" s="52"/>
    </row>
    <row r="86">
      <c r="A86" s="52"/>
    </row>
    <row r="87">
      <c r="A87" s="52"/>
    </row>
    <row r="88">
      <c r="A88" s="52"/>
    </row>
    <row r="89">
      <c r="A89" s="52"/>
    </row>
    <row r="90">
      <c r="A90" s="52"/>
    </row>
    <row r="91">
      <c r="A91" s="52"/>
    </row>
    <row r="92">
      <c r="A92" s="52"/>
    </row>
    <row r="93">
      <c r="A93" s="52"/>
    </row>
    <row r="94">
      <c r="A94" s="52"/>
    </row>
    <row r="95">
      <c r="A95" s="52"/>
    </row>
    <row r="96">
      <c r="A96" s="52"/>
    </row>
    <row r="97">
      <c r="A97" s="52"/>
    </row>
    <row r="98">
      <c r="A98" s="52"/>
    </row>
    <row r="99">
      <c r="A99" s="52"/>
    </row>
    <row r="100">
      <c r="A100" s="52"/>
    </row>
    <row r="101">
      <c r="A101" s="52"/>
    </row>
    <row r="102">
      <c r="A102" s="52"/>
    </row>
    <row r="103">
      <c r="A103" s="52"/>
    </row>
    <row r="104">
      <c r="A104" s="52"/>
    </row>
    <row r="105">
      <c r="A105" s="52"/>
    </row>
    <row r="106">
      <c r="A106" s="52"/>
    </row>
    <row r="107">
      <c r="A107" s="52"/>
    </row>
    <row r="108">
      <c r="A108" s="52"/>
    </row>
    <row r="109">
      <c r="A109" s="52"/>
    </row>
    <row r="110">
      <c r="A110" s="52"/>
    </row>
    <row r="111">
      <c r="A111" s="52"/>
    </row>
    <row r="112">
      <c r="A112" s="52"/>
    </row>
    <row r="113">
      <c r="A113" s="52"/>
    </row>
    <row r="114">
      <c r="A114" s="52"/>
    </row>
    <row r="115">
      <c r="A115" s="52"/>
    </row>
    <row r="116">
      <c r="A116" s="52"/>
    </row>
    <row r="117">
      <c r="A117" s="52"/>
    </row>
    <row r="118">
      <c r="A118" s="52"/>
    </row>
    <row r="119">
      <c r="A119" s="52"/>
    </row>
    <row r="120">
      <c r="A120" s="52"/>
    </row>
    <row r="121">
      <c r="A121" s="52"/>
    </row>
    <row r="122">
      <c r="A122" s="52"/>
    </row>
    <row r="123">
      <c r="A123" s="52"/>
    </row>
    <row r="124">
      <c r="A124" s="52"/>
    </row>
    <row r="125">
      <c r="A125" s="52"/>
    </row>
    <row r="126">
      <c r="A126" s="52"/>
    </row>
    <row r="127">
      <c r="A127" s="52"/>
    </row>
    <row r="128">
      <c r="A128" s="52"/>
    </row>
    <row r="129">
      <c r="A129" s="52"/>
    </row>
    <row r="130">
      <c r="A130" s="52"/>
    </row>
    <row r="131">
      <c r="A131" s="52"/>
    </row>
    <row r="132">
      <c r="A132" s="52"/>
    </row>
    <row r="133">
      <c r="A133" s="52"/>
    </row>
    <row r="134">
      <c r="A134" s="52"/>
    </row>
    <row r="135">
      <c r="A135" s="52"/>
    </row>
    <row r="136">
      <c r="A136" s="52"/>
    </row>
    <row r="137">
      <c r="A137" s="52"/>
    </row>
    <row r="138">
      <c r="A138" s="52"/>
    </row>
    <row r="139">
      <c r="A139" s="52"/>
    </row>
    <row r="140">
      <c r="A140" s="52"/>
    </row>
    <row r="141">
      <c r="A141" s="52"/>
    </row>
    <row r="142">
      <c r="A142" s="52"/>
    </row>
    <row r="143">
      <c r="A143" s="52"/>
    </row>
    <row r="144">
      <c r="A144" s="52"/>
    </row>
    <row r="145">
      <c r="A145" s="52"/>
    </row>
    <row r="146">
      <c r="A146" s="52"/>
    </row>
    <row r="147">
      <c r="A147" s="52"/>
    </row>
    <row r="148">
      <c r="A148" s="52"/>
    </row>
    <row r="149">
      <c r="A149" s="52"/>
    </row>
    <row r="150">
      <c r="A150" s="52"/>
    </row>
    <row r="151">
      <c r="A151" s="52"/>
    </row>
    <row r="152">
      <c r="A152" s="52"/>
    </row>
    <row r="153">
      <c r="A153" s="52"/>
    </row>
    <row r="154">
      <c r="A154" s="52"/>
    </row>
    <row r="155">
      <c r="A155" s="52"/>
    </row>
    <row r="156">
      <c r="A156" s="52"/>
    </row>
    <row r="157">
      <c r="A157" s="52"/>
    </row>
    <row r="158">
      <c r="A158" s="52"/>
    </row>
    <row r="159">
      <c r="A159" s="52"/>
    </row>
    <row r="160">
      <c r="A160" s="52"/>
    </row>
    <row r="161">
      <c r="A161" s="52"/>
    </row>
    <row r="162">
      <c r="A162" s="52"/>
    </row>
    <row r="163">
      <c r="A163" s="52"/>
    </row>
    <row r="164">
      <c r="A164" s="52"/>
    </row>
    <row r="165">
      <c r="A165" s="52"/>
    </row>
    <row r="166">
      <c r="A166" s="52"/>
    </row>
    <row r="167">
      <c r="A167" s="52"/>
    </row>
    <row r="168">
      <c r="A168" s="52"/>
    </row>
    <row r="169">
      <c r="A169" s="52"/>
    </row>
    <row r="170">
      <c r="A170" s="52"/>
    </row>
    <row r="171">
      <c r="A171" s="52"/>
    </row>
    <row r="172">
      <c r="A172" s="52"/>
    </row>
    <row r="173">
      <c r="A173" s="52"/>
    </row>
    <row r="174">
      <c r="A174" s="52"/>
    </row>
    <row r="175">
      <c r="A175" s="52"/>
    </row>
    <row r="176">
      <c r="A176" s="52"/>
    </row>
    <row r="177">
      <c r="A177" s="52"/>
    </row>
    <row r="178">
      <c r="A178" s="52"/>
    </row>
    <row r="179">
      <c r="A179" s="52"/>
    </row>
    <row r="180">
      <c r="A180" s="52"/>
    </row>
    <row r="181">
      <c r="A181" s="52"/>
    </row>
    <row r="182">
      <c r="A182" s="52"/>
    </row>
    <row r="183">
      <c r="A183" s="52"/>
    </row>
    <row r="184">
      <c r="A184" s="52"/>
    </row>
    <row r="185">
      <c r="A185" s="52"/>
    </row>
    <row r="186">
      <c r="A186" s="52"/>
    </row>
    <row r="187">
      <c r="A187" s="52"/>
    </row>
    <row r="188">
      <c r="A188" s="52"/>
    </row>
    <row r="189">
      <c r="A189" s="52"/>
    </row>
    <row r="190">
      <c r="A190" s="52"/>
    </row>
    <row r="191">
      <c r="A191" s="52"/>
    </row>
    <row r="192">
      <c r="A192" s="52"/>
    </row>
    <row r="193">
      <c r="A193" s="52"/>
    </row>
    <row r="194">
      <c r="A194" s="52"/>
    </row>
    <row r="195">
      <c r="A195" s="52"/>
    </row>
    <row r="196">
      <c r="A196" s="52"/>
    </row>
    <row r="197">
      <c r="A197" s="52"/>
    </row>
    <row r="198">
      <c r="A198" s="52"/>
    </row>
    <row r="199">
      <c r="A199" s="52"/>
    </row>
    <row r="200">
      <c r="A200" s="52"/>
    </row>
    <row r="201">
      <c r="A201" s="52"/>
    </row>
    <row r="202">
      <c r="A202" s="52"/>
    </row>
    <row r="203">
      <c r="A203" s="52"/>
    </row>
    <row r="204">
      <c r="A204" s="52"/>
    </row>
    <row r="205">
      <c r="A205" s="52"/>
    </row>
    <row r="206">
      <c r="A206" s="52"/>
    </row>
    <row r="207">
      <c r="A207" s="52"/>
    </row>
    <row r="208">
      <c r="A208" s="52"/>
    </row>
    <row r="209">
      <c r="A209" s="52"/>
    </row>
    <row r="210">
      <c r="A210" s="52"/>
    </row>
    <row r="211">
      <c r="A211" s="52"/>
    </row>
    <row r="212">
      <c r="A212" s="52"/>
    </row>
    <row r="213">
      <c r="A213" s="52"/>
    </row>
    <row r="214">
      <c r="A214" s="52"/>
    </row>
    <row r="215">
      <c r="A215" s="52"/>
    </row>
    <row r="216">
      <c r="A216" s="52"/>
    </row>
    <row r="217">
      <c r="A217" s="52"/>
    </row>
    <row r="218">
      <c r="A218" s="52"/>
    </row>
    <row r="219">
      <c r="A219" s="52"/>
    </row>
    <row r="220">
      <c r="A220" s="52"/>
    </row>
    <row r="221">
      <c r="A221" s="52"/>
    </row>
    <row r="222">
      <c r="A222" s="52"/>
    </row>
    <row r="223">
      <c r="A223" s="52"/>
    </row>
    <row r="224">
      <c r="A224" s="52"/>
    </row>
    <row r="225">
      <c r="A225" s="52"/>
    </row>
    <row r="226">
      <c r="A226" s="52"/>
    </row>
    <row r="227">
      <c r="A227" s="52"/>
    </row>
    <row r="228">
      <c r="A228" s="52"/>
    </row>
    <row r="229">
      <c r="A229" s="52"/>
    </row>
    <row r="230">
      <c r="A230" s="52"/>
    </row>
    <row r="231">
      <c r="A231" s="52"/>
    </row>
    <row r="232">
      <c r="A232" s="52"/>
    </row>
    <row r="233">
      <c r="A233" s="52"/>
    </row>
    <row r="234">
      <c r="A234" s="52"/>
    </row>
    <row r="235">
      <c r="A235" s="52"/>
    </row>
    <row r="236">
      <c r="A236" s="52"/>
    </row>
    <row r="237">
      <c r="A237" s="52"/>
    </row>
    <row r="238">
      <c r="A238" s="52"/>
    </row>
    <row r="239">
      <c r="A239" s="52"/>
    </row>
    <row r="240">
      <c r="A240" s="52"/>
    </row>
    <row r="241">
      <c r="A241" s="52"/>
    </row>
    <row r="242">
      <c r="A242" s="52"/>
    </row>
    <row r="243">
      <c r="A243" s="52"/>
    </row>
    <row r="244">
      <c r="A244" s="52"/>
    </row>
    <row r="245">
      <c r="A245" s="52"/>
    </row>
    <row r="246">
      <c r="A246" s="52"/>
    </row>
    <row r="247">
      <c r="A247" s="52"/>
    </row>
    <row r="248">
      <c r="A248" s="52"/>
    </row>
    <row r="249">
      <c r="A249" s="52"/>
    </row>
    <row r="250">
      <c r="A250" s="52"/>
    </row>
    <row r="251">
      <c r="A251" s="52"/>
    </row>
    <row r="252">
      <c r="A252" s="52"/>
    </row>
    <row r="253">
      <c r="A253" s="52"/>
    </row>
    <row r="254">
      <c r="A254" s="52"/>
    </row>
    <row r="255">
      <c r="A255" s="52"/>
    </row>
    <row r="256">
      <c r="A256" s="52"/>
    </row>
    <row r="257">
      <c r="A257" s="52"/>
    </row>
    <row r="258">
      <c r="A258" s="52"/>
    </row>
    <row r="259">
      <c r="A259" s="52"/>
    </row>
    <row r="260">
      <c r="A260" s="52"/>
    </row>
    <row r="261">
      <c r="A261" s="52"/>
    </row>
    <row r="262">
      <c r="A262" s="52"/>
    </row>
    <row r="263">
      <c r="A263" s="52"/>
    </row>
    <row r="264">
      <c r="A264" s="52"/>
    </row>
    <row r="265">
      <c r="A265" s="52"/>
    </row>
    <row r="266">
      <c r="A266" s="52"/>
    </row>
    <row r="267">
      <c r="A267" s="52"/>
    </row>
    <row r="268">
      <c r="A268" s="52"/>
    </row>
    <row r="269">
      <c r="A269" s="52"/>
    </row>
    <row r="270">
      <c r="A270" s="52"/>
    </row>
    <row r="271">
      <c r="A271" s="52"/>
    </row>
    <row r="272">
      <c r="A272" s="52"/>
    </row>
    <row r="273">
      <c r="A273" s="52"/>
    </row>
    <row r="274">
      <c r="A274" s="52"/>
    </row>
    <row r="275">
      <c r="A275" s="52"/>
    </row>
    <row r="276">
      <c r="A276" s="52"/>
    </row>
    <row r="277">
      <c r="A277" s="52"/>
    </row>
    <row r="278">
      <c r="A278" s="52"/>
    </row>
    <row r="279">
      <c r="A279" s="52"/>
    </row>
    <row r="280">
      <c r="A280" s="52"/>
    </row>
    <row r="281">
      <c r="A281" s="52"/>
    </row>
    <row r="282">
      <c r="A282" s="52"/>
    </row>
    <row r="283">
      <c r="A283" s="52"/>
    </row>
    <row r="284">
      <c r="A284" s="52"/>
    </row>
    <row r="285">
      <c r="A285" s="52"/>
    </row>
    <row r="286">
      <c r="A286" s="52"/>
    </row>
    <row r="287">
      <c r="A287" s="52"/>
    </row>
    <row r="288">
      <c r="A288" s="52"/>
    </row>
    <row r="289">
      <c r="A289" s="52"/>
    </row>
    <row r="290">
      <c r="A290" s="52"/>
    </row>
    <row r="291">
      <c r="A291" s="52"/>
    </row>
    <row r="292">
      <c r="A292" s="52"/>
    </row>
    <row r="293">
      <c r="A293" s="52"/>
    </row>
    <row r="294">
      <c r="A294" s="52"/>
    </row>
    <row r="295">
      <c r="A295" s="52"/>
    </row>
    <row r="296">
      <c r="A296" s="52"/>
    </row>
    <row r="297">
      <c r="A297" s="52"/>
    </row>
    <row r="298">
      <c r="A298" s="52"/>
    </row>
    <row r="299">
      <c r="A299" s="52"/>
    </row>
    <row r="300">
      <c r="A300" s="52"/>
    </row>
    <row r="301">
      <c r="A301" s="52"/>
    </row>
    <row r="302">
      <c r="A302" s="52"/>
    </row>
    <row r="303">
      <c r="A303" s="52"/>
    </row>
    <row r="304">
      <c r="A304" s="52"/>
    </row>
    <row r="305">
      <c r="A305" s="52"/>
    </row>
    <row r="306">
      <c r="A306" s="52"/>
    </row>
    <row r="307">
      <c r="A307" s="52"/>
    </row>
    <row r="308">
      <c r="A308" s="52"/>
    </row>
    <row r="309">
      <c r="A309" s="52"/>
    </row>
    <row r="310">
      <c r="A310" s="52"/>
    </row>
    <row r="311">
      <c r="A311" s="52"/>
    </row>
    <row r="312">
      <c r="A312" s="52"/>
    </row>
    <row r="313">
      <c r="A313" s="52"/>
    </row>
    <row r="314">
      <c r="A314" s="52"/>
    </row>
    <row r="315">
      <c r="A315" s="52"/>
    </row>
    <row r="316">
      <c r="A316" s="52"/>
    </row>
    <row r="317">
      <c r="A317" s="52"/>
    </row>
    <row r="318">
      <c r="A318" s="52"/>
    </row>
    <row r="319">
      <c r="A319" s="52"/>
    </row>
    <row r="320">
      <c r="A320" s="52"/>
    </row>
    <row r="321">
      <c r="A321" s="52"/>
    </row>
    <row r="322">
      <c r="A322" s="52"/>
    </row>
    <row r="323">
      <c r="A323" s="52"/>
    </row>
    <row r="324">
      <c r="A324" s="52"/>
    </row>
    <row r="325">
      <c r="A325" s="52"/>
    </row>
    <row r="326">
      <c r="A326" s="52"/>
    </row>
    <row r="327">
      <c r="A327" s="52"/>
    </row>
    <row r="328">
      <c r="A328" s="52"/>
    </row>
    <row r="329">
      <c r="A329" s="52"/>
    </row>
    <row r="330">
      <c r="A330" s="52"/>
    </row>
    <row r="331">
      <c r="A331" s="52"/>
    </row>
    <row r="332">
      <c r="A332" s="52"/>
    </row>
    <row r="333">
      <c r="A333" s="52"/>
    </row>
    <row r="334">
      <c r="A334" s="52"/>
    </row>
    <row r="335">
      <c r="A335" s="52"/>
    </row>
    <row r="336">
      <c r="A336" s="52"/>
    </row>
    <row r="337">
      <c r="A337" s="52"/>
    </row>
    <row r="338">
      <c r="A338" s="52"/>
    </row>
    <row r="339">
      <c r="A339" s="52"/>
    </row>
    <row r="340">
      <c r="A340" s="52"/>
    </row>
    <row r="341">
      <c r="A341" s="52"/>
    </row>
    <row r="342">
      <c r="A342" s="52"/>
    </row>
    <row r="343">
      <c r="A343" s="52"/>
    </row>
    <row r="344">
      <c r="A344" s="52"/>
    </row>
    <row r="345">
      <c r="A345" s="52"/>
    </row>
    <row r="346">
      <c r="A346" s="52"/>
    </row>
    <row r="347">
      <c r="A347" s="52"/>
    </row>
    <row r="348">
      <c r="A348" s="52"/>
    </row>
    <row r="349">
      <c r="A349" s="52"/>
    </row>
    <row r="350">
      <c r="A350" s="52"/>
    </row>
    <row r="351">
      <c r="A351" s="52"/>
    </row>
    <row r="352">
      <c r="A352" s="52"/>
    </row>
    <row r="353">
      <c r="A353" s="52"/>
    </row>
    <row r="354">
      <c r="A354" s="52"/>
    </row>
    <row r="355">
      <c r="A355" s="52"/>
    </row>
    <row r="356">
      <c r="A356" s="52"/>
    </row>
    <row r="357">
      <c r="A357" s="52"/>
    </row>
    <row r="358">
      <c r="A358" s="52"/>
    </row>
    <row r="359">
      <c r="A359" s="52"/>
    </row>
    <row r="360">
      <c r="A360" s="52"/>
    </row>
    <row r="361">
      <c r="A361" s="52"/>
    </row>
    <row r="362">
      <c r="A362" s="52"/>
    </row>
    <row r="363">
      <c r="A363" s="52"/>
    </row>
    <row r="364">
      <c r="A364" s="52"/>
    </row>
    <row r="365">
      <c r="A365" s="52"/>
    </row>
    <row r="366">
      <c r="A366" s="52"/>
    </row>
    <row r="367">
      <c r="A367" s="52"/>
    </row>
    <row r="368">
      <c r="A368" s="52"/>
    </row>
    <row r="369">
      <c r="A369" s="52"/>
    </row>
    <row r="370">
      <c r="A370" s="52"/>
    </row>
    <row r="371">
      <c r="A371" s="52"/>
    </row>
    <row r="372">
      <c r="A372" s="52"/>
    </row>
    <row r="373">
      <c r="A373" s="52"/>
    </row>
    <row r="374">
      <c r="A374" s="52"/>
    </row>
    <row r="375">
      <c r="A375" s="52"/>
    </row>
    <row r="376">
      <c r="A376" s="52"/>
    </row>
    <row r="377">
      <c r="A377" s="52"/>
    </row>
    <row r="378">
      <c r="A378" s="52"/>
    </row>
    <row r="379">
      <c r="A379" s="52"/>
    </row>
    <row r="380">
      <c r="A380" s="52"/>
    </row>
    <row r="381">
      <c r="A381" s="52"/>
    </row>
    <row r="382">
      <c r="A382" s="52"/>
    </row>
    <row r="383">
      <c r="A383" s="52"/>
    </row>
    <row r="384">
      <c r="A384" s="52"/>
    </row>
    <row r="385">
      <c r="A385" s="52"/>
    </row>
    <row r="386">
      <c r="A386" s="52"/>
    </row>
    <row r="387">
      <c r="A387" s="52"/>
    </row>
    <row r="388">
      <c r="A388" s="52"/>
    </row>
    <row r="389">
      <c r="A389" s="52"/>
    </row>
    <row r="390">
      <c r="A390" s="52"/>
    </row>
    <row r="391">
      <c r="A391" s="52"/>
    </row>
    <row r="392">
      <c r="A392" s="52"/>
    </row>
    <row r="393">
      <c r="A393" s="52"/>
    </row>
    <row r="394">
      <c r="A394" s="52"/>
    </row>
    <row r="395">
      <c r="A395" s="52"/>
    </row>
    <row r="396">
      <c r="A396" s="52"/>
    </row>
    <row r="397">
      <c r="A397" s="52"/>
    </row>
    <row r="398">
      <c r="A398" s="52"/>
    </row>
    <row r="399">
      <c r="A399" s="52"/>
    </row>
    <row r="400">
      <c r="A400" s="52"/>
    </row>
    <row r="401">
      <c r="A401" s="52"/>
    </row>
    <row r="402">
      <c r="A402" s="52"/>
    </row>
    <row r="403">
      <c r="A403" s="52"/>
    </row>
    <row r="404">
      <c r="A404" s="52"/>
    </row>
    <row r="405">
      <c r="A405" s="52"/>
    </row>
    <row r="406">
      <c r="A406" s="52"/>
    </row>
    <row r="407">
      <c r="A407" s="52"/>
    </row>
    <row r="408">
      <c r="A408" s="52"/>
    </row>
    <row r="409">
      <c r="A409" s="52"/>
    </row>
    <row r="410">
      <c r="A410" s="52"/>
    </row>
    <row r="411">
      <c r="A411" s="52"/>
    </row>
    <row r="412">
      <c r="A412" s="52"/>
    </row>
    <row r="413">
      <c r="A413" s="52"/>
    </row>
    <row r="414">
      <c r="A414" s="52"/>
    </row>
    <row r="415">
      <c r="A415" s="52"/>
    </row>
    <row r="416">
      <c r="A416" s="52"/>
    </row>
    <row r="417">
      <c r="A417" s="52"/>
    </row>
    <row r="418">
      <c r="A418" s="52"/>
    </row>
    <row r="419">
      <c r="A419" s="52"/>
    </row>
    <row r="420">
      <c r="A420" s="52"/>
    </row>
    <row r="421">
      <c r="A421" s="52"/>
    </row>
    <row r="422">
      <c r="A422" s="52"/>
    </row>
    <row r="423">
      <c r="A423" s="52"/>
    </row>
    <row r="424">
      <c r="A424" s="52"/>
    </row>
    <row r="425">
      <c r="A425" s="52"/>
    </row>
    <row r="426">
      <c r="A426" s="52"/>
    </row>
    <row r="427">
      <c r="A427" s="52"/>
    </row>
    <row r="428">
      <c r="A428" s="52"/>
    </row>
    <row r="429">
      <c r="A429" s="52"/>
    </row>
    <row r="430">
      <c r="A430" s="52"/>
    </row>
    <row r="431">
      <c r="A431" s="52"/>
    </row>
    <row r="432">
      <c r="A432" s="52"/>
    </row>
    <row r="433">
      <c r="A433" s="52"/>
    </row>
    <row r="434">
      <c r="A434" s="52"/>
    </row>
    <row r="435">
      <c r="A435" s="52"/>
    </row>
    <row r="436">
      <c r="A436" s="52"/>
    </row>
    <row r="437">
      <c r="A437" s="52"/>
    </row>
    <row r="438">
      <c r="A438" s="52"/>
    </row>
    <row r="439">
      <c r="A439" s="52"/>
    </row>
    <row r="440">
      <c r="A440" s="52"/>
    </row>
    <row r="441">
      <c r="A441" s="52"/>
    </row>
    <row r="442">
      <c r="A442" s="52"/>
    </row>
    <row r="443">
      <c r="A443" s="52"/>
    </row>
    <row r="444">
      <c r="A444" s="52"/>
    </row>
    <row r="445">
      <c r="A445" s="52"/>
    </row>
    <row r="446">
      <c r="A446" s="52"/>
    </row>
    <row r="447">
      <c r="A447" s="52"/>
    </row>
    <row r="448">
      <c r="A448" s="52"/>
    </row>
    <row r="449">
      <c r="A449" s="52"/>
    </row>
    <row r="450">
      <c r="A450" s="52"/>
    </row>
    <row r="451">
      <c r="A451" s="52"/>
    </row>
    <row r="452">
      <c r="A452" s="52"/>
    </row>
    <row r="453">
      <c r="A453" s="52"/>
    </row>
    <row r="454">
      <c r="A454" s="52"/>
    </row>
    <row r="455">
      <c r="A455" s="52"/>
    </row>
    <row r="456">
      <c r="A456" s="52"/>
    </row>
    <row r="457">
      <c r="A457" s="52"/>
    </row>
    <row r="458">
      <c r="A458" s="52"/>
    </row>
    <row r="459">
      <c r="A459" s="52"/>
    </row>
    <row r="460">
      <c r="A460" s="52"/>
    </row>
    <row r="461">
      <c r="A461" s="52"/>
    </row>
    <row r="462">
      <c r="A462" s="52"/>
    </row>
    <row r="463">
      <c r="A463" s="52"/>
    </row>
    <row r="464">
      <c r="A464" s="52"/>
    </row>
    <row r="465">
      <c r="A465" s="52"/>
    </row>
    <row r="466">
      <c r="A466" s="52"/>
    </row>
    <row r="467">
      <c r="A467" s="52"/>
    </row>
    <row r="468">
      <c r="A468" s="52"/>
    </row>
    <row r="469">
      <c r="A469" s="52"/>
    </row>
    <row r="470">
      <c r="A470" s="52"/>
    </row>
    <row r="471">
      <c r="A471" s="52"/>
    </row>
    <row r="472">
      <c r="A472" s="52"/>
    </row>
    <row r="473">
      <c r="A473" s="52"/>
    </row>
    <row r="474">
      <c r="A474" s="52"/>
    </row>
    <row r="475">
      <c r="A475" s="52"/>
    </row>
    <row r="476">
      <c r="A476" s="52"/>
    </row>
    <row r="477">
      <c r="A477" s="52"/>
    </row>
    <row r="478">
      <c r="A478" s="52"/>
    </row>
    <row r="479">
      <c r="A479" s="52"/>
    </row>
    <row r="480">
      <c r="A480" s="52"/>
    </row>
    <row r="481">
      <c r="A481" s="52"/>
    </row>
    <row r="482">
      <c r="A482" s="52"/>
    </row>
    <row r="483">
      <c r="A483" s="52"/>
    </row>
    <row r="484">
      <c r="A484" s="52"/>
    </row>
    <row r="485">
      <c r="A485" s="52"/>
    </row>
    <row r="486">
      <c r="A486" s="52"/>
    </row>
    <row r="487">
      <c r="A487" s="52"/>
    </row>
    <row r="488">
      <c r="A488" s="52"/>
    </row>
    <row r="489">
      <c r="A489" s="52"/>
    </row>
    <row r="490">
      <c r="A490" s="52"/>
    </row>
    <row r="491">
      <c r="A491" s="52"/>
    </row>
    <row r="492">
      <c r="A492" s="52"/>
    </row>
    <row r="493">
      <c r="A493" s="52"/>
    </row>
    <row r="494">
      <c r="A494" s="52"/>
    </row>
    <row r="495">
      <c r="A495" s="52"/>
    </row>
    <row r="496">
      <c r="A496" s="52"/>
    </row>
    <row r="497">
      <c r="A497" s="52"/>
    </row>
    <row r="498">
      <c r="A498" s="52"/>
    </row>
    <row r="499">
      <c r="A499" s="52"/>
    </row>
    <row r="500">
      <c r="A500" s="52"/>
    </row>
    <row r="501">
      <c r="A501" s="52"/>
    </row>
    <row r="502">
      <c r="A502" s="52"/>
    </row>
    <row r="503">
      <c r="A503" s="52"/>
    </row>
    <row r="504">
      <c r="A504" s="52"/>
    </row>
    <row r="505">
      <c r="A505" s="52"/>
    </row>
    <row r="506">
      <c r="A506" s="52"/>
    </row>
    <row r="507">
      <c r="A507" s="52"/>
    </row>
    <row r="508">
      <c r="A508" s="52"/>
    </row>
    <row r="509">
      <c r="A509" s="52"/>
    </row>
    <row r="510">
      <c r="A510" s="52"/>
    </row>
    <row r="511">
      <c r="A511" s="52"/>
    </row>
    <row r="512">
      <c r="A512" s="52"/>
    </row>
    <row r="513">
      <c r="A513" s="52"/>
    </row>
    <row r="514">
      <c r="A514" s="52"/>
    </row>
    <row r="515">
      <c r="A515" s="52"/>
    </row>
    <row r="516">
      <c r="A516" s="52"/>
    </row>
    <row r="517">
      <c r="A517" s="52"/>
    </row>
    <row r="518">
      <c r="A518" s="52"/>
    </row>
    <row r="519">
      <c r="A519" s="52"/>
    </row>
    <row r="520">
      <c r="A520" s="52"/>
    </row>
    <row r="521">
      <c r="A521" s="52"/>
    </row>
    <row r="522">
      <c r="A522" s="52"/>
    </row>
    <row r="523">
      <c r="A523" s="52"/>
    </row>
    <row r="524">
      <c r="A524" s="52"/>
    </row>
    <row r="525">
      <c r="A525" s="52"/>
    </row>
    <row r="526">
      <c r="A526" s="52"/>
    </row>
    <row r="527">
      <c r="A527" s="52"/>
    </row>
    <row r="528">
      <c r="A528" s="52"/>
    </row>
    <row r="529">
      <c r="A529" s="52"/>
    </row>
    <row r="530">
      <c r="A530" s="52"/>
    </row>
    <row r="531">
      <c r="A531" s="52"/>
    </row>
    <row r="532">
      <c r="A532" s="52"/>
    </row>
    <row r="533">
      <c r="A533" s="52"/>
    </row>
    <row r="534">
      <c r="A534" s="52"/>
    </row>
    <row r="535">
      <c r="A535" s="52"/>
    </row>
    <row r="536">
      <c r="A536" s="52"/>
    </row>
    <row r="537">
      <c r="A537" s="52"/>
    </row>
    <row r="538">
      <c r="A538" s="52"/>
    </row>
    <row r="539">
      <c r="A539" s="52"/>
    </row>
    <row r="540">
      <c r="A540" s="52"/>
    </row>
    <row r="541">
      <c r="A541" s="52"/>
    </row>
    <row r="542">
      <c r="A542" s="52"/>
    </row>
    <row r="543">
      <c r="A543" s="52"/>
    </row>
    <row r="544">
      <c r="A544" s="52"/>
    </row>
    <row r="545">
      <c r="A545" s="52"/>
    </row>
    <row r="546">
      <c r="A546" s="52"/>
    </row>
    <row r="547">
      <c r="A547" s="52"/>
    </row>
    <row r="548">
      <c r="A548" s="52"/>
    </row>
    <row r="549">
      <c r="A549" s="52"/>
    </row>
    <row r="550">
      <c r="A550" s="52"/>
    </row>
    <row r="551">
      <c r="A551" s="52"/>
    </row>
    <row r="552">
      <c r="A552" s="52"/>
    </row>
    <row r="553">
      <c r="A553" s="52"/>
    </row>
    <row r="554">
      <c r="A554" s="52"/>
    </row>
    <row r="555">
      <c r="A555" s="52"/>
    </row>
    <row r="556">
      <c r="A556" s="52"/>
    </row>
    <row r="557">
      <c r="A557" s="52"/>
    </row>
    <row r="558">
      <c r="A558" s="52"/>
    </row>
    <row r="559">
      <c r="A559" s="52"/>
    </row>
    <row r="560">
      <c r="A560" s="52"/>
    </row>
    <row r="561">
      <c r="A561" s="52"/>
    </row>
    <row r="562">
      <c r="A562" s="52"/>
    </row>
    <row r="563">
      <c r="A563" s="52"/>
    </row>
    <row r="564">
      <c r="A564" s="52"/>
    </row>
    <row r="565">
      <c r="A565" s="52"/>
    </row>
    <row r="566">
      <c r="A566" s="52"/>
    </row>
    <row r="567">
      <c r="A567" s="52"/>
    </row>
    <row r="568">
      <c r="A568" s="52"/>
    </row>
    <row r="569">
      <c r="A569" s="52"/>
    </row>
    <row r="570">
      <c r="A570" s="52"/>
    </row>
    <row r="571">
      <c r="A571" s="52"/>
    </row>
    <row r="572">
      <c r="A572" s="52"/>
    </row>
    <row r="573">
      <c r="A573" s="52"/>
    </row>
    <row r="574">
      <c r="A574" s="52"/>
    </row>
    <row r="575">
      <c r="A575" s="52"/>
    </row>
    <row r="576">
      <c r="A576" s="52"/>
    </row>
    <row r="577">
      <c r="A577" s="52"/>
    </row>
    <row r="578">
      <c r="A578" s="52"/>
    </row>
    <row r="579">
      <c r="A579" s="52"/>
    </row>
    <row r="580">
      <c r="A580" s="52"/>
    </row>
    <row r="581">
      <c r="A581" s="52"/>
    </row>
    <row r="582">
      <c r="A582" s="52"/>
    </row>
    <row r="583">
      <c r="A583" s="52"/>
    </row>
    <row r="584">
      <c r="A584" s="52"/>
    </row>
    <row r="585">
      <c r="A585" s="52"/>
    </row>
    <row r="586">
      <c r="A586" s="52"/>
    </row>
    <row r="587">
      <c r="A587" s="52"/>
    </row>
    <row r="588">
      <c r="A588" s="52"/>
    </row>
    <row r="589">
      <c r="A589" s="52"/>
    </row>
    <row r="590">
      <c r="A590" s="52"/>
    </row>
    <row r="591">
      <c r="A591" s="52"/>
    </row>
    <row r="592">
      <c r="A592" s="52"/>
    </row>
    <row r="593">
      <c r="A593" s="52"/>
    </row>
    <row r="594">
      <c r="A594" s="52"/>
    </row>
    <row r="595">
      <c r="A595" s="52"/>
    </row>
    <row r="596">
      <c r="A596" s="52"/>
    </row>
    <row r="597">
      <c r="A597" s="52"/>
    </row>
    <row r="598">
      <c r="A598" s="52"/>
    </row>
    <row r="599">
      <c r="A599" s="52"/>
    </row>
    <row r="600">
      <c r="A600" s="52"/>
    </row>
    <row r="601">
      <c r="A601" s="52"/>
    </row>
    <row r="602">
      <c r="A602" s="52"/>
    </row>
    <row r="603">
      <c r="A603" s="52"/>
    </row>
    <row r="604">
      <c r="A604" s="52"/>
    </row>
    <row r="605">
      <c r="A605" s="52"/>
    </row>
    <row r="606">
      <c r="A606" s="52"/>
    </row>
    <row r="607">
      <c r="A607" s="52"/>
    </row>
    <row r="608">
      <c r="A608" s="52"/>
    </row>
    <row r="609">
      <c r="A609" s="52"/>
    </row>
    <row r="610">
      <c r="A610" s="52"/>
    </row>
    <row r="611">
      <c r="A611" s="52"/>
    </row>
    <row r="612">
      <c r="A612" s="52"/>
    </row>
    <row r="613">
      <c r="A613" s="52"/>
    </row>
    <row r="614">
      <c r="A614" s="52"/>
    </row>
    <row r="615">
      <c r="A615" s="52"/>
    </row>
    <row r="616">
      <c r="A616" s="52"/>
    </row>
    <row r="617">
      <c r="A617" s="52"/>
    </row>
    <row r="618">
      <c r="A618" s="52"/>
    </row>
    <row r="619">
      <c r="A619" s="52"/>
    </row>
    <row r="620">
      <c r="A620" s="52"/>
    </row>
    <row r="621">
      <c r="A621" s="52"/>
    </row>
    <row r="622">
      <c r="A622" s="52"/>
    </row>
    <row r="623">
      <c r="A623" s="52"/>
    </row>
    <row r="624">
      <c r="A624" s="52"/>
    </row>
    <row r="625">
      <c r="A625" s="52"/>
    </row>
    <row r="626">
      <c r="A626" s="52"/>
    </row>
    <row r="627">
      <c r="A627" s="52"/>
    </row>
    <row r="628">
      <c r="A628" s="52"/>
    </row>
    <row r="629">
      <c r="A629" s="52"/>
    </row>
    <row r="630">
      <c r="A630" s="52"/>
    </row>
    <row r="631">
      <c r="A631" s="52"/>
    </row>
    <row r="632">
      <c r="A632" s="52"/>
    </row>
    <row r="633">
      <c r="A633" s="52"/>
    </row>
    <row r="634">
      <c r="A634" s="52"/>
    </row>
    <row r="635">
      <c r="A635" s="52"/>
    </row>
    <row r="636">
      <c r="A636" s="52"/>
    </row>
    <row r="637">
      <c r="A637" s="52"/>
    </row>
    <row r="638">
      <c r="A638" s="52"/>
    </row>
    <row r="639">
      <c r="A639" s="52"/>
    </row>
    <row r="640">
      <c r="A640" s="52"/>
    </row>
    <row r="641">
      <c r="A641" s="52"/>
    </row>
    <row r="642">
      <c r="A642" s="52"/>
    </row>
    <row r="643">
      <c r="A643" s="52"/>
    </row>
    <row r="644">
      <c r="A644" s="52"/>
    </row>
    <row r="645">
      <c r="A645" s="52"/>
    </row>
    <row r="646">
      <c r="A646" s="52"/>
    </row>
    <row r="647">
      <c r="A647" s="52"/>
    </row>
    <row r="648">
      <c r="A648" s="52"/>
    </row>
    <row r="649">
      <c r="A649" s="52"/>
    </row>
    <row r="650">
      <c r="A650" s="52"/>
    </row>
    <row r="651">
      <c r="A651" s="52"/>
    </row>
    <row r="652">
      <c r="A652" s="52"/>
    </row>
    <row r="653">
      <c r="A653" s="52"/>
    </row>
    <row r="654">
      <c r="A654" s="52"/>
    </row>
    <row r="655">
      <c r="A655" s="52"/>
    </row>
    <row r="656">
      <c r="A656" s="52"/>
    </row>
    <row r="657">
      <c r="A657" s="52"/>
    </row>
    <row r="658">
      <c r="A658" s="52"/>
    </row>
    <row r="659">
      <c r="A659" s="52"/>
    </row>
    <row r="660">
      <c r="A660" s="52"/>
    </row>
    <row r="661">
      <c r="A661" s="52"/>
    </row>
    <row r="662">
      <c r="A662" s="52"/>
    </row>
    <row r="663">
      <c r="A663" s="52"/>
    </row>
    <row r="664">
      <c r="A664" s="52"/>
    </row>
    <row r="665">
      <c r="A665" s="52"/>
    </row>
    <row r="666">
      <c r="A666" s="52"/>
    </row>
    <row r="667">
      <c r="A667" s="52"/>
    </row>
    <row r="668">
      <c r="A668" s="52"/>
    </row>
    <row r="669">
      <c r="A669" s="52"/>
    </row>
    <row r="670">
      <c r="A670" s="52"/>
    </row>
    <row r="671">
      <c r="A671" s="52"/>
    </row>
    <row r="672">
      <c r="A672" s="52"/>
    </row>
    <row r="673">
      <c r="A673" s="52"/>
    </row>
    <row r="674">
      <c r="A674" s="52"/>
    </row>
    <row r="675">
      <c r="A675" s="52"/>
    </row>
    <row r="676">
      <c r="A676" s="52"/>
    </row>
    <row r="677">
      <c r="A677" s="52"/>
    </row>
    <row r="678">
      <c r="A678" s="52"/>
    </row>
    <row r="679">
      <c r="A679" s="52"/>
    </row>
    <row r="680">
      <c r="A680" s="52"/>
    </row>
    <row r="681">
      <c r="A681" s="52"/>
    </row>
    <row r="682">
      <c r="A682" s="52"/>
    </row>
    <row r="683">
      <c r="A683" s="52"/>
    </row>
    <row r="684">
      <c r="A684" s="52"/>
    </row>
    <row r="685">
      <c r="A685" s="52"/>
    </row>
    <row r="686">
      <c r="A686" s="52"/>
    </row>
    <row r="687">
      <c r="A687" s="52"/>
    </row>
    <row r="688">
      <c r="A688" s="52"/>
    </row>
    <row r="689">
      <c r="A689" s="52"/>
    </row>
    <row r="690">
      <c r="A690" s="52"/>
    </row>
    <row r="691">
      <c r="A691" s="52"/>
    </row>
    <row r="692">
      <c r="A692" s="52"/>
    </row>
    <row r="693">
      <c r="A693" s="52"/>
    </row>
    <row r="694">
      <c r="A694" s="52"/>
    </row>
    <row r="695">
      <c r="A695" s="52"/>
    </row>
    <row r="696">
      <c r="A696" s="52"/>
    </row>
    <row r="697">
      <c r="A697" s="52"/>
    </row>
    <row r="698">
      <c r="A698" s="52"/>
    </row>
    <row r="699">
      <c r="A699" s="52"/>
    </row>
    <row r="700">
      <c r="A700" s="52"/>
    </row>
    <row r="701">
      <c r="A701" s="52"/>
    </row>
    <row r="702">
      <c r="A702" s="52"/>
    </row>
    <row r="703">
      <c r="A703" s="52"/>
    </row>
    <row r="704">
      <c r="A704" s="52"/>
    </row>
    <row r="705">
      <c r="A705" s="52"/>
    </row>
    <row r="706">
      <c r="A706" s="52"/>
    </row>
    <row r="707">
      <c r="A707" s="52"/>
    </row>
    <row r="708">
      <c r="A708" s="52"/>
    </row>
    <row r="709">
      <c r="A709" s="52"/>
    </row>
    <row r="710">
      <c r="A710" s="52"/>
    </row>
    <row r="711">
      <c r="A711" s="52"/>
    </row>
    <row r="712">
      <c r="A712" s="52"/>
    </row>
    <row r="713">
      <c r="A713" s="52"/>
    </row>
    <row r="714">
      <c r="A714" s="52"/>
    </row>
    <row r="715">
      <c r="A715" s="52"/>
    </row>
    <row r="716">
      <c r="A716" s="52"/>
    </row>
    <row r="717">
      <c r="A717" s="52"/>
    </row>
    <row r="718">
      <c r="A718" s="52"/>
    </row>
    <row r="719">
      <c r="A719" s="52"/>
    </row>
    <row r="720">
      <c r="A720" s="52"/>
    </row>
    <row r="721">
      <c r="A721" s="52"/>
    </row>
    <row r="722">
      <c r="A722" s="52"/>
    </row>
    <row r="723">
      <c r="A723" s="52"/>
    </row>
    <row r="724">
      <c r="A724" s="52"/>
    </row>
    <row r="725">
      <c r="A725" s="52"/>
    </row>
    <row r="726">
      <c r="A726" s="52"/>
    </row>
    <row r="727">
      <c r="A727" s="52"/>
    </row>
    <row r="728">
      <c r="A728" s="52"/>
    </row>
    <row r="729">
      <c r="A729" s="52"/>
    </row>
    <row r="730">
      <c r="A730" s="52"/>
    </row>
    <row r="731">
      <c r="A731" s="52"/>
    </row>
    <row r="732">
      <c r="A732" s="52"/>
    </row>
    <row r="733">
      <c r="A733" s="52"/>
    </row>
    <row r="734">
      <c r="A734" s="52"/>
    </row>
    <row r="735">
      <c r="A735" s="52"/>
    </row>
    <row r="736">
      <c r="A736" s="52"/>
    </row>
    <row r="737">
      <c r="A737" s="52"/>
    </row>
    <row r="738">
      <c r="A738" s="52"/>
    </row>
    <row r="739">
      <c r="A739" s="52"/>
    </row>
    <row r="740">
      <c r="A740" s="52"/>
    </row>
    <row r="741">
      <c r="A741" s="52"/>
    </row>
    <row r="742">
      <c r="A742" s="52"/>
    </row>
    <row r="743">
      <c r="A743" s="52"/>
    </row>
    <row r="744">
      <c r="A744" s="52"/>
    </row>
    <row r="745">
      <c r="A745" s="52"/>
    </row>
    <row r="746">
      <c r="A746" s="52"/>
    </row>
    <row r="747">
      <c r="A747" s="52"/>
    </row>
    <row r="748">
      <c r="A748" s="52"/>
    </row>
    <row r="749">
      <c r="A749" s="52"/>
    </row>
    <row r="750">
      <c r="A750" s="52"/>
    </row>
    <row r="751">
      <c r="A751" s="52"/>
    </row>
    <row r="752">
      <c r="A752" s="52"/>
    </row>
    <row r="753">
      <c r="A753" s="52"/>
    </row>
    <row r="754">
      <c r="A754" s="52"/>
    </row>
    <row r="755">
      <c r="A755" s="52"/>
    </row>
    <row r="756">
      <c r="A756" s="52"/>
    </row>
    <row r="757">
      <c r="A757" s="52"/>
    </row>
    <row r="758">
      <c r="A758" s="52"/>
    </row>
    <row r="759">
      <c r="A759" s="52"/>
    </row>
    <row r="760">
      <c r="A760" s="52"/>
    </row>
    <row r="761">
      <c r="A761" s="52"/>
    </row>
    <row r="762">
      <c r="A762" s="52"/>
    </row>
    <row r="763">
      <c r="A763" s="52"/>
    </row>
    <row r="764">
      <c r="A764" s="52"/>
    </row>
    <row r="765">
      <c r="A765" s="52"/>
    </row>
    <row r="766">
      <c r="A766" s="52"/>
    </row>
    <row r="767">
      <c r="A767" s="52"/>
    </row>
    <row r="768">
      <c r="A768" s="52"/>
    </row>
    <row r="769">
      <c r="A769" s="52"/>
    </row>
    <row r="770">
      <c r="A770" s="52"/>
    </row>
    <row r="771">
      <c r="A771" s="52"/>
    </row>
    <row r="772">
      <c r="A772" s="52"/>
    </row>
    <row r="773">
      <c r="A773" s="52"/>
    </row>
    <row r="774">
      <c r="A774" s="52"/>
    </row>
    <row r="775">
      <c r="A775" s="52"/>
    </row>
    <row r="776">
      <c r="A776" s="52"/>
    </row>
    <row r="777">
      <c r="A777" s="52"/>
    </row>
    <row r="778">
      <c r="A778" s="52"/>
    </row>
    <row r="779">
      <c r="A779" s="52"/>
    </row>
    <row r="780">
      <c r="A780" s="52"/>
    </row>
    <row r="781">
      <c r="A781" s="52"/>
    </row>
    <row r="782">
      <c r="A782" s="52"/>
    </row>
    <row r="783">
      <c r="A783" s="52"/>
    </row>
    <row r="784">
      <c r="A784" s="52"/>
    </row>
    <row r="785">
      <c r="A785" s="52"/>
    </row>
    <row r="786">
      <c r="A786" s="52"/>
    </row>
    <row r="787">
      <c r="A787" s="52"/>
    </row>
    <row r="788">
      <c r="A788" s="52"/>
    </row>
    <row r="789">
      <c r="A789" s="52"/>
    </row>
    <row r="790">
      <c r="A790" s="52"/>
    </row>
    <row r="791">
      <c r="A791" s="52"/>
    </row>
    <row r="792">
      <c r="A792" s="52"/>
    </row>
    <row r="793">
      <c r="A793" s="52"/>
    </row>
    <row r="794">
      <c r="A794" s="52"/>
    </row>
    <row r="795">
      <c r="A795" s="52"/>
    </row>
    <row r="796">
      <c r="A796" s="52"/>
    </row>
    <row r="797">
      <c r="A797" s="52"/>
    </row>
    <row r="798">
      <c r="A798" s="52"/>
    </row>
    <row r="799">
      <c r="A799" s="52"/>
    </row>
    <row r="800">
      <c r="A800" s="52"/>
    </row>
    <row r="801">
      <c r="A801" s="52"/>
    </row>
    <row r="802">
      <c r="A802" s="52"/>
    </row>
    <row r="803">
      <c r="A803" s="52"/>
    </row>
    <row r="804">
      <c r="A804" s="52"/>
    </row>
    <row r="805">
      <c r="A805" s="52"/>
    </row>
    <row r="806">
      <c r="A806" s="52"/>
    </row>
    <row r="807">
      <c r="A807" s="52"/>
    </row>
    <row r="808">
      <c r="A808" s="52"/>
    </row>
    <row r="809">
      <c r="A809" s="52"/>
    </row>
    <row r="810">
      <c r="A810" s="52"/>
    </row>
    <row r="811">
      <c r="A811" s="52"/>
    </row>
    <row r="812">
      <c r="A812" s="52"/>
    </row>
    <row r="813">
      <c r="A813" s="52"/>
    </row>
    <row r="814">
      <c r="A814" s="52"/>
    </row>
    <row r="815">
      <c r="A815" s="52"/>
    </row>
    <row r="816">
      <c r="A816" s="52"/>
    </row>
    <row r="817">
      <c r="A817" s="52"/>
    </row>
    <row r="818">
      <c r="A818" s="52"/>
    </row>
    <row r="819">
      <c r="A819" s="52"/>
    </row>
    <row r="820">
      <c r="A820" s="52"/>
    </row>
    <row r="821">
      <c r="A821" s="52"/>
    </row>
    <row r="822">
      <c r="A822" s="52"/>
    </row>
    <row r="823">
      <c r="A823" s="52"/>
    </row>
    <row r="824">
      <c r="A824" s="52"/>
    </row>
    <row r="825">
      <c r="A825" s="52"/>
    </row>
    <row r="826">
      <c r="A826" s="52"/>
    </row>
    <row r="827">
      <c r="A827" s="52"/>
    </row>
    <row r="828">
      <c r="A828" s="52"/>
    </row>
    <row r="829">
      <c r="A829" s="52"/>
    </row>
    <row r="830">
      <c r="A830" s="52"/>
    </row>
    <row r="831">
      <c r="A831" s="52"/>
    </row>
    <row r="832">
      <c r="A832" s="52"/>
    </row>
    <row r="833">
      <c r="A833" s="52"/>
    </row>
    <row r="834">
      <c r="A834" s="52"/>
    </row>
    <row r="835">
      <c r="A835" s="52"/>
    </row>
    <row r="836">
      <c r="A836" s="52"/>
    </row>
    <row r="837">
      <c r="A837" s="52"/>
    </row>
    <row r="838">
      <c r="A838" s="52"/>
    </row>
    <row r="839">
      <c r="A839" s="52"/>
    </row>
    <row r="840">
      <c r="A840" s="52"/>
    </row>
    <row r="841">
      <c r="A841" s="52"/>
    </row>
    <row r="842">
      <c r="A842" s="52"/>
    </row>
    <row r="843">
      <c r="A843" s="52"/>
    </row>
    <row r="844">
      <c r="A844" s="52"/>
    </row>
    <row r="845">
      <c r="A845" s="52"/>
    </row>
    <row r="846">
      <c r="A846" s="52"/>
    </row>
    <row r="847">
      <c r="A847" s="52"/>
    </row>
    <row r="848">
      <c r="A848" s="52"/>
    </row>
    <row r="849">
      <c r="A849" s="52"/>
    </row>
    <row r="850">
      <c r="A850" s="52"/>
    </row>
    <row r="851">
      <c r="A851" s="52"/>
    </row>
    <row r="852">
      <c r="A852" s="52"/>
    </row>
    <row r="853">
      <c r="A853" s="52"/>
    </row>
    <row r="854">
      <c r="A854" s="52"/>
    </row>
    <row r="855">
      <c r="A855" s="52"/>
    </row>
    <row r="856">
      <c r="A856" s="52"/>
    </row>
    <row r="857">
      <c r="A857" s="52"/>
    </row>
    <row r="858">
      <c r="A858" s="52"/>
    </row>
    <row r="859">
      <c r="A859" s="52"/>
    </row>
    <row r="860">
      <c r="A860" s="52"/>
    </row>
    <row r="861">
      <c r="A861" s="52"/>
    </row>
    <row r="862">
      <c r="A862" s="52"/>
    </row>
    <row r="863">
      <c r="A863" s="52"/>
    </row>
    <row r="864">
      <c r="A864" s="52"/>
    </row>
    <row r="865">
      <c r="A865" s="52"/>
    </row>
    <row r="866">
      <c r="A866" s="52"/>
    </row>
    <row r="867">
      <c r="A867" s="52"/>
    </row>
    <row r="868">
      <c r="A868" s="52"/>
    </row>
    <row r="869">
      <c r="A869" s="52"/>
    </row>
    <row r="870">
      <c r="A870" s="52"/>
    </row>
    <row r="871">
      <c r="A871" s="52"/>
    </row>
    <row r="872">
      <c r="A872" s="52"/>
    </row>
    <row r="873">
      <c r="A873" s="52"/>
    </row>
    <row r="874">
      <c r="A874" s="52"/>
    </row>
    <row r="875">
      <c r="A875" s="52"/>
    </row>
    <row r="876">
      <c r="A876" s="52"/>
    </row>
    <row r="877">
      <c r="A877" s="52"/>
    </row>
    <row r="878">
      <c r="A878" s="52"/>
    </row>
    <row r="879">
      <c r="A879" s="52"/>
    </row>
    <row r="880">
      <c r="A880" s="52"/>
    </row>
    <row r="881">
      <c r="A881" s="52"/>
    </row>
    <row r="882">
      <c r="A882" s="52"/>
    </row>
    <row r="883">
      <c r="A883" s="52"/>
    </row>
    <row r="884">
      <c r="A884" s="52"/>
    </row>
    <row r="885">
      <c r="A885" s="52"/>
    </row>
    <row r="886">
      <c r="A886" s="52"/>
    </row>
    <row r="887">
      <c r="A887" s="52"/>
    </row>
    <row r="888">
      <c r="A888" s="52"/>
    </row>
    <row r="889">
      <c r="A889" s="52"/>
    </row>
    <row r="890">
      <c r="A890" s="52"/>
    </row>
    <row r="891">
      <c r="A891" s="52"/>
    </row>
    <row r="892">
      <c r="A892" s="52"/>
    </row>
    <row r="893">
      <c r="A893" s="52"/>
    </row>
    <row r="894">
      <c r="A894" s="52"/>
    </row>
    <row r="895">
      <c r="A895" s="52"/>
    </row>
    <row r="896">
      <c r="A896" s="52"/>
    </row>
    <row r="897">
      <c r="A897" s="52"/>
    </row>
    <row r="898">
      <c r="A898" s="52"/>
    </row>
    <row r="899">
      <c r="A899" s="52"/>
    </row>
    <row r="900">
      <c r="A900" s="52"/>
    </row>
    <row r="901">
      <c r="A901" s="52"/>
    </row>
    <row r="902">
      <c r="A902" s="52"/>
    </row>
    <row r="903">
      <c r="A903" s="52"/>
    </row>
    <row r="904">
      <c r="A904" s="52"/>
    </row>
    <row r="905">
      <c r="A905" s="52"/>
    </row>
    <row r="906">
      <c r="A906" s="52"/>
    </row>
    <row r="907">
      <c r="A907" s="52"/>
    </row>
    <row r="908">
      <c r="A908" s="52"/>
    </row>
    <row r="909">
      <c r="A909" s="52"/>
    </row>
    <row r="910">
      <c r="A910" s="52"/>
    </row>
    <row r="911">
      <c r="A911" s="52"/>
    </row>
    <row r="912">
      <c r="A912" s="52"/>
    </row>
    <row r="913">
      <c r="A913" s="52"/>
    </row>
    <row r="914">
      <c r="A914" s="52"/>
    </row>
    <row r="915">
      <c r="A915" s="52"/>
    </row>
    <row r="916">
      <c r="A916" s="52"/>
    </row>
    <row r="917">
      <c r="A917" s="52"/>
    </row>
    <row r="918">
      <c r="A918" s="52"/>
    </row>
    <row r="919">
      <c r="A919" s="52"/>
    </row>
    <row r="920">
      <c r="A920" s="52"/>
    </row>
    <row r="921">
      <c r="A921" s="52"/>
    </row>
    <row r="922">
      <c r="A922" s="52"/>
    </row>
    <row r="923">
      <c r="A923" s="52"/>
    </row>
    <row r="924">
      <c r="A924" s="52"/>
    </row>
    <row r="925">
      <c r="A925" s="52"/>
    </row>
    <row r="926">
      <c r="A926" s="52"/>
    </row>
    <row r="927">
      <c r="A927" s="52"/>
    </row>
    <row r="928">
      <c r="A928" s="52"/>
    </row>
    <row r="929">
      <c r="A929" s="52"/>
    </row>
    <row r="930">
      <c r="A930" s="52"/>
    </row>
    <row r="931">
      <c r="A931" s="52"/>
    </row>
    <row r="932">
      <c r="A932" s="52"/>
    </row>
    <row r="933">
      <c r="A933" s="52"/>
    </row>
    <row r="934">
      <c r="A934" s="52"/>
    </row>
    <row r="935">
      <c r="A935" s="52"/>
    </row>
    <row r="936">
      <c r="A936" s="52"/>
    </row>
    <row r="937">
      <c r="A937" s="52"/>
    </row>
    <row r="938">
      <c r="A938" s="52"/>
    </row>
    <row r="939">
      <c r="A939" s="52"/>
    </row>
    <row r="940">
      <c r="A940" s="52"/>
    </row>
    <row r="941">
      <c r="A941" s="52"/>
    </row>
    <row r="942">
      <c r="A942" s="52"/>
    </row>
    <row r="943">
      <c r="A943" s="52"/>
    </row>
    <row r="944">
      <c r="A944" s="52"/>
    </row>
    <row r="945">
      <c r="A945" s="52"/>
    </row>
    <row r="946">
      <c r="A946" s="52"/>
    </row>
    <row r="947">
      <c r="A947" s="52"/>
    </row>
    <row r="948">
      <c r="A948" s="52"/>
    </row>
    <row r="949">
      <c r="A949" s="52"/>
    </row>
    <row r="950">
      <c r="A950" s="52"/>
    </row>
    <row r="951">
      <c r="A951" s="52"/>
    </row>
    <row r="952">
      <c r="A952" s="52"/>
    </row>
    <row r="953">
      <c r="A953" s="52"/>
    </row>
    <row r="954">
      <c r="A954" s="52"/>
    </row>
    <row r="955">
      <c r="A955" s="52"/>
    </row>
    <row r="956">
      <c r="A956" s="52"/>
    </row>
    <row r="957">
      <c r="A957" s="52"/>
    </row>
    <row r="958">
      <c r="A958" s="52"/>
    </row>
    <row r="959">
      <c r="A959" s="52"/>
    </row>
    <row r="960">
      <c r="A960" s="52"/>
    </row>
    <row r="961">
      <c r="A961" s="52"/>
    </row>
    <row r="962">
      <c r="A962" s="52"/>
    </row>
    <row r="963">
      <c r="A963" s="52"/>
    </row>
    <row r="964">
      <c r="A964" s="52"/>
    </row>
    <row r="965">
      <c r="A965" s="52"/>
    </row>
    <row r="966">
      <c r="A966" s="52"/>
    </row>
    <row r="967">
      <c r="A967" s="52"/>
    </row>
    <row r="968">
      <c r="A968" s="52"/>
    </row>
    <row r="969">
      <c r="A969" s="52"/>
    </row>
    <row r="970">
      <c r="A970" s="52"/>
    </row>
    <row r="971">
      <c r="A971" s="52"/>
    </row>
    <row r="972">
      <c r="A972" s="52"/>
    </row>
    <row r="973">
      <c r="A973" s="52"/>
    </row>
    <row r="974">
      <c r="A974" s="52"/>
    </row>
    <row r="975">
      <c r="A975" s="52"/>
    </row>
    <row r="976">
      <c r="A976" s="52"/>
    </row>
    <row r="977">
      <c r="A977" s="52"/>
    </row>
    <row r="978">
      <c r="A978" s="52"/>
    </row>
    <row r="979">
      <c r="A979" s="52"/>
    </row>
    <row r="980">
      <c r="A980" s="52"/>
    </row>
    <row r="981">
      <c r="A981" s="52"/>
    </row>
    <row r="982">
      <c r="A982" s="52"/>
    </row>
    <row r="983">
      <c r="A983" s="52"/>
    </row>
    <row r="984">
      <c r="A984" s="52"/>
    </row>
    <row r="985">
      <c r="A985" s="52"/>
    </row>
    <row r="986">
      <c r="A986" s="52"/>
    </row>
    <row r="987">
      <c r="A987" s="52"/>
    </row>
    <row r="988">
      <c r="A988" s="52"/>
    </row>
    <row r="989">
      <c r="A989" s="52"/>
    </row>
    <row r="990">
      <c r="A990" s="52"/>
    </row>
    <row r="991">
      <c r="A991" s="52"/>
    </row>
    <row r="992">
      <c r="A992" s="52"/>
    </row>
    <row r="993">
      <c r="A993" s="52"/>
    </row>
    <row r="994">
      <c r="A994" s="52"/>
    </row>
    <row r="995">
      <c r="A995" s="52"/>
    </row>
    <row r="996">
      <c r="A996" s="52"/>
    </row>
    <row r="997">
      <c r="A997" s="52"/>
    </row>
    <row r="998">
      <c r="A998" s="52"/>
    </row>
    <row r="999">
      <c r="A999" s="52"/>
    </row>
    <row r="1000">
      <c r="A1000" s="52"/>
    </row>
    <row r="1001">
      <c r="A1001" s="52"/>
    </row>
    <row r="1002">
      <c r="A1002" s="52"/>
    </row>
    <row r="1003">
      <c r="A1003" s="5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11.75"/>
    <col customWidth="1" min="3" max="3" width="12.25"/>
    <col customWidth="1" min="4" max="4" width="10.63"/>
  </cols>
  <sheetData>
    <row r="1">
      <c r="A1" s="1"/>
      <c r="B1" s="62"/>
      <c r="C1" s="2"/>
      <c r="D1" s="2"/>
    </row>
    <row r="2">
      <c r="A2" s="1" t="s">
        <v>194</v>
      </c>
      <c r="B2" s="62" t="s">
        <v>195</v>
      </c>
      <c r="C2" s="2">
        <v>4.0</v>
      </c>
      <c r="D2" s="2">
        <v>0.0</v>
      </c>
      <c r="E2" s="2" t="s">
        <v>196</v>
      </c>
    </row>
    <row r="3">
      <c r="A3" s="1" t="s">
        <v>197</v>
      </c>
      <c r="B3" s="1">
        <v>2021.0</v>
      </c>
      <c r="C3" s="1">
        <f t="shared" ref="C3:D3" si="1">B3+1</f>
        <v>2022</v>
      </c>
      <c r="D3" s="1">
        <f t="shared" si="1"/>
        <v>2023</v>
      </c>
    </row>
    <row r="4">
      <c r="A4" s="63" t="str">
        <f>concat(concat("Compute (",Model!$G$11), " pricing)")</f>
        <v>Compute (2020 pricing)</v>
      </c>
      <c r="B4" s="12">
        <f t="shared" ref="B4:D4" si="2">B25</f>
        <v>0.02</v>
      </c>
      <c r="C4" s="12">
        <f t="shared" si="2"/>
        <v>0.04</v>
      </c>
      <c r="D4" s="12">
        <f t="shared" si="2"/>
        <v>0.43</v>
      </c>
    </row>
    <row r="5">
      <c r="A5" s="2" t="str">
        <f>concat(concat("Qserv (",Model!$G$11), " pricing)")</f>
        <v>Qserv (2020 pricing)</v>
      </c>
      <c r="B5" s="2"/>
      <c r="C5" s="2"/>
      <c r="D5" s="64">
        <f>Model!D5/1000000</f>
        <v>0.28</v>
      </c>
    </row>
    <row r="6">
      <c r="A6" s="2" t="str">
        <f>concat(concat("Storage (",Model!$G$11), " pricing)")</f>
        <v>Storage (2020 pricing)</v>
      </c>
      <c r="B6" s="64">
        <f t="shared" ref="B6:D6" si="3">B38/1000000</f>
        <v>0.3119274411</v>
      </c>
      <c r="C6" s="64">
        <f t="shared" si="3"/>
        <v>0.09554790711</v>
      </c>
      <c r="D6" s="64">
        <f t="shared" si="3"/>
        <v>0.5233542156</v>
      </c>
    </row>
    <row r="7">
      <c r="A7" s="1" t="str">
        <f>concat(concat("Total (",Model!$G$11), " pricing)")</f>
        <v>Total (2020 pricing)</v>
      </c>
      <c r="B7" s="12">
        <f t="shared" ref="B7:D7" si="4">sum(B4:B6)</f>
        <v>0.3319274411</v>
      </c>
      <c r="C7" s="12">
        <f t="shared" si="4"/>
        <v>0.1355479071</v>
      </c>
      <c r="D7" s="12">
        <f t="shared" si="4"/>
        <v>1.233354216</v>
      </c>
    </row>
    <row r="8">
      <c r="A8" s="2" t="s">
        <v>198</v>
      </c>
      <c r="B8" s="12">
        <f>B$4*pow(cpuFac, B$3 -scaleYear)</f>
        <v>0.018</v>
      </c>
      <c r="C8" s="12">
        <f>C$4*pow(cpuFac, C$3 -scaleYear)</f>
        <v>0.0324</v>
      </c>
      <c r="D8" s="12">
        <f>D$4*pow(cpuFac, D$3 -scaleYear)</f>
        <v>0.31347</v>
      </c>
    </row>
    <row r="9">
      <c r="A9" s="2" t="s">
        <v>199</v>
      </c>
      <c r="B9" s="26">
        <f>B$5*pow(qservFac, B$3 -scaleYear)</f>
        <v>0</v>
      </c>
      <c r="C9" s="26">
        <f>C$5*pow(qservFac, C$3 -scaleYear)</f>
        <v>0</v>
      </c>
      <c r="D9" s="57">
        <f>D$5*pow(qservFac, D$3 -scaleYear)</f>
        <v>0.221606875</v>
      </c>
    </row>
    <row r="10">
      <c r="A10" s="2" t="s">
        <v>200</v>
      </c>
      <c r="B10" s="57">
        <f>B$6*pow(diskFac, B$3 -scaleYear)</f>
        <v>0.296331069</v>
      </c>
      <c r="C10" s="57">
        <f>C$6*pow(diskFac, C$3 -scaleYear)</f>
        <v>0.08623198617</v>
      </c>
      <c r="D10" s="57">
        <f>D$6*pow(diskFac, D$3 -scaleYear)</f>
        <v>0.4487108206</v>
      </c>
    </row>
    <row r="11">
      <c r="A11" s="2" t="s">
        <v>201</v>
      </c>
      <c r="B11" s="42">
        <f t="shared" ref="B11:D11" si="5">0.05*sum(B8:B10)+0.1</f>
        <v>0.1157165535</v>
      </c>
      <c r="C11" s="42">
        <f t="shared" si="5"/>
        <v>0.1059315993</v>
      </c>
      <c r="D11" s="42">
        <f t="shared" si="5"/>
        <v>0.1491893848</v>
      </c>
    </row>
    <row r="12">
      <c r="A12" s="1" t="s">
        <v>26</v>
      </c>
      <c r="B12" s="42">
        <f t="shared" ref="B12:D12" si="6">sum(B8:B11)</f>
        <v>0.4300476225</v>
      </c>
      <c r="C12" s="42">
        <f t="shared" si="6"/>
        <v>0.2245635855</v>
      </c>
      <c r="D12" s="42">
        <f t="shared" si="6"/>
        <v>1.13297708</v>
      </c>
    </row>
    <row r="13">
      <c r="A13" s="1" t="str">
        <f>concat("Total Pre Ops hardware to ", $D$3)</f>
        <v>Total Pre Ops hardware to 2023</v>
      </c>
      <c r="B13" s="42">
        <f>sum(B12:D12)</f>
        <v>1.787588288</v>
      </c>
      <c r="C13" s="1" t="s">
        <v>202</v>
      </c>
    </row>
    <row r="17">
      <c r="A17" s="1" t="s">
        <v>203</v>
      </c>
      <c r="B17" s="2" t="s">
        <v>204</v>
      </c>
      <c r="C17" s="2">
        <v>4.0</v>
      </c>
      <c r="D17" s="2">
        <v>0.0</v>
      </c>
    </row>
    <row r="18">
      <c r="A18" s="1" t="s">
        <v>3</v>
      </c>
      <c r="B18" s="3">
        <f t="shared" ref="B18:D18" si="7">B3</f>
        <v>2021</v>
      </c>
      <c r="C18" s="3">
        <f t="shared" si="7"/>
        <v>2022</v>
      </c>
      <c r="D18" s="3">
        <f t="shared" si="7"/>
        <v>2023</v>
      </c>
      <c r="E18" s="3"/>
      <c r="F18" s="3"/>
      <c r="G18" s="3"/>
      <c r="H18" s="3"/>
      <c r="I18" s="3"/>
      <c r="J18" s="3"/>
      <c r="K18" s="3"/>
      <c r="L18" s="3"/>
      <c r="M18" s="3"/>
      <c r="N18" s="3"/>
      <c r="O18" s="3"/>
      <c r="P18" s="3"/>
      <c r="Q18" s="3"/>
      <c r="R18" s="3"/>
      <c r="S18" s="3"/>
      <c r="T18" s="3"/>
      <c r="U18" s="3"/>
      <c r="V18" s="3"/>
      <c r="W18" s="3"/>
      <c r="X18" s="3"/>
      <c r="Y18" s="3"/>
      <c r="Z18" s="3"/>
    </row>
    <row r="19">
      <c r="A19" s="2" t="s">
        <v>205</v>
      </c>
      <c r="B19" s="2">
        <v>0.0</v>
      </c>
      <c r="C19" s="65">
        <f>Model!C50</f>
        <v>1836.115691</v>
      </c>
      <c r="D19" s="32">
        <f>Model!E51</f>
        <v>2837.361581</v>
      </c>
    </row>
    <row r="20">
      <c r="A20" s="2" t="s">
        <v>206</v>
      </c>
      <c r="D20" s="30">
        <f>Model!E53</f>
        <v>1188.409091</v>
      </c>
    </row>
    <row r="21">
      <c r="A21" s="2" t="s">
        <v>207</v>
      </c>
      <c r="B21" s="2">
        <v>100.0</v>
      </c>
      <c r="C21" s="2">
        <f>540-B21</f>
        <v>440</v>
      </c>
      <c r="E21" s="2" t="s">
        <v>208</v>
      </c>
    </row>
    <row r="22">
      <c r="A22" s="2" t="s">
        <v>209</v>
      </c>
      <c r="B22" s="2">
        <v>100.0</v>
      </c>
      <c r="D22" s="26">
        <f>(32*32) - B22</f>
        <v>924</v>
      </c>
      <c r="E22" s="2" t="s">
        <v>208</v>
      </c>
    </row>
    <row r="23">
      <c r="A23" s="1" t="s">
        <v>210</v>
      </c>
      <c r="B23" s="3">
        <f>sum(B19:B22)</f>
        <v>200</v>
      </c>
      <c r="C23" s="3">
        <f>sum(C20:C22)</f>
        <v>440</v>
      </c>
      <c r="D23" s="35">
        <f>sum(D19:D22)</f>
        <v>4949.770672</v>
      </c>
      <c r="E23" s="3"/>
      <c r="F23" s="3"/>
      <c r="G23" s="3"/>
      <c r="H23" s="3"/>
      <c r="I23" s="3"/>
      <c r="J23" s="3"/>
      <c r="K23" s="3"/>
      <c r="L23" s="3"/>
      <c r="M23" s="3"/>
      <c r="N23" s="3"/>
      <c r="O23" s="3"/>
      <c r="P23" s="3"/>
      <c r="Q23" s="3"/>
      <c r="R23" s="3"/>
      <c r="S23" s="3"/>
      <c r="T23" s="3"/>
      <c r="U23" s="3"/>
      <c r="V23" s="3"/>
      <c r="W23" s="3"/>
      <c r="X23" s="3"/>
      <c r="Y23" s="3"/>
      <c r="Z23" s="3"/>
    </row>
    <row r="24">
      <c r="A24" s="2" t="s">
        <v>211</v>
      </c>
      <c r="B24" s="32">
        <f>roundup((B23)/Model!$D$29,0)</f>
        <v>2</v>
      </c>
      <c r="C24" s="32">
        <f>roundup((C23)/Model!$D$29,0)</f>
        <v>4</v>
      </c>
      <c r="D24" s="32">
        <f>roundup((D23)/Model!$D$29,0)</f>
        <v>43</v>
      </c>
    </row>
    <row r="25">
      <c r="A25" s="63" t="str">
        <f>concat(concat("Compute (",Model!$G$11), " pricing)")</f>
        <v>Compute (2020 pricing)</v>
      </c>
      <c r="B25" s="40">
        <f>B24*Model!$E$26/1000000</f>
        <v>0.02</v>
      </c>
      <c r="C25" s="40">
        <f>C24*Model!$E$26/1000000</f>
        <v>0.04</v>
      </c>
      <c r="D25" s="40">
        <f>D24*Model!$E$26/1000000</f>
        <v>0.43</v>
      </c>
    </row>
    <row r="28">
      <c r="A28" s="1" t="s">
        <v>212</v>
      </c>
      <c r="B28" s="2" t="s">
        <v>213</v>
      </c>
      <c r="C28" s="2">
        <v>4.0</v>
      </c>
      <c r="D28" s="2">
        <v>0.0</v>
      </c>
    </row>
    <row r="29">
      <c r="A29" s="1" t="s">
        <v>214</v>
      </c>
      <c r="B29" s="3">
        <f t="shared" ref="B29:D29" si="8">B3</f>
        <v>2021</v>
      </c>
      <c r="C29" s="3">
        <f t="shared" si="8"/>
        <v>2022</v>
      </c>
      <c r="D29" s="3">
        <f t="shared" si="8"/>
        <v>2023</v>
      </c>
      <c r="E29" s="3"/>
      <c r="F29" s="3"/>
      <c r="G29" s="3"/>
      <c r="H29" s="3"/>
      <c r="I29" s="3"/>
      <c r="J29" s="3"/>
      <c r="K29" s="3"/>
      <c r="L29" s="3"/>
      <c r="M29" s="3"/>
      <c r="N29" s="3"/>
      <c r="O29" s="3"/>
      <c r="P29" s="3"/>
      <c r="Q29" s="3"/>
      <c r="R29" s="3"/>
      <c r="S29" s="3"/>
      <c r="T29" s="3"/>
      <c r="U29" s="3"/>
      <c r="V29" s="3"/>
      <c r="W29" s="3"/>
      <c r="X29" s="3"/>
      <c r="Y29" s="3"/>
      <c r="Z29" s="3"/>
    </row>
    <row r="30">
      <c r="A30" s="2" t="str">
        <f>Model!A63</f>
        <v>Fast Storage (TB)</v>
      </c>
      <c r="B30" s="31">
        <f>Model!C64</f>
        <v>11.84210526</v>
      </c>
      <c r="C30" s="31">
        <f>Model!D64</f>
        <v>11.84210526</v>
      </c>
      <c r="D30" s="31">
        <f>Model!E64</f>
        <v>26.07</v>
      </c>
    </row>
    <row r="31">
      <c r="A31" s="2" t="str">
        <f>Model!A65</f>
        <v>Normal Storage (TB)</v>
      </c>
      <c r="B31" s="30">
        <f>Model!C65</f>
        <v>3466.81753</v>
      </c>
      <c r="C31" s="30">
        <f>Model!D66</f>
        <v>68.14646709</v>
      </c>
      <c r="D31" s="30">
        <f>Model!E66</f>
        <v>3094.609981</v>
      </c>
    </row>
    <row r="32">
      <c r="A32" s="2" t="str">
        <f>Model!A67</f>
        <v>Latent Storage  (TB)</v>
      </c>
      <c r="B32" s="30">
        <f>Model!C68</f>
        <v>318.5203069</v>
      </c>
      <c r="C32" s="30">
        <f>Model!D68</f>
        <v>557.4105372</v>
      </c>
      <c r="D32" s="30">
        <f>Model!E68</f>
        <v>2553.024264</v>
      </c>
    </row>
    <row r="33">
      <c r="A33" s="2" t="str">
        <f>Model!A69</f>
        <v>High Latency (TB)</v>
      </c>
      <c r="B33" s="30">
        <f>Model!C70</f>
        <v>2697.568715</v>
      </c>
      <c r="C33" s="30">
        <f>Model!D70</f>
        <v>3004.605413</v>
      </c>
      <c r="D33" s="30">
        <f>Model!E70</f>
        <v>7513.854215</v>
      </c>
    </row>
    <row r="34">
      <c r="A34" s="63" t="str">
        <f>concat(concat("Fast (",Model!$G$11), " pricing)")</f>
        <v>Fast (2020 pricing)</v>
      </c>
      <c r="B34" s="42">
        <f>B30*Model!$B$35</f>
        <v>4736.842105</v>
      </c>
      <c r="C34" s="42">
        <f>C30*Model!$B$35</f>
        <v>4736.842105</v>
      </c>
      <c r="D34" s="42">
        <f>D30*Model!$B$35</f>
        <v>10428</v>
      </c>
    </row>
    <row r="35">
      <c r="A35" s="63" t="str">
        <f>concat(concat("Normal (",Model!$G$11), " pricing)")</f>
        <v>Normal (2020 pricing)</v>
      </c>
      <c r="B35" s="42">
        <f>B31*Model!$B$36</f>
        <v>242677.2271</v>
      </c>
      <c r="C35" s="42">
        <f>C31*Model!$B$36</f>
        <v>4770.252697</v>
      </c>
      <c r="D35" s="42">
        <f>D31*Model!$B$36</f>
        <v>216622.6987</v>
      </c>
    </row>
    <row r="36">
      <c r="A36" s="63" t="str">
        <f>concat(concat("Latent (",Model!$G$11), " pricing)")</f>
        <v>Latent (2020 pricing)</v>
      </c>
      <c r="B36" s="42">
        <f>B32*Model!$B$37</f>
        <v>22296.42149</v>
      </c>
      <c r="C36" s="42">
        <f>C32*Model!$B$37</f>
        <v>39018.7376</v>
      </c>
      <c r="D36" s="42">
        <f>D32*Model!$B$37</f>
        <v>178711.6985</v>
      </c>
    </row>
    <row r="37">
      <c r="A37" s="63" t="str">
        <f>concat(concat("High Latency (",Model!$G$11), " pricing)")</f>
        <v>High Latency (2020 pricing)</v>
      </c>
      <c r="B37" s="42">
        <f>B33*Model!$B$38</f>
        <v>42216.9504</v>
      </c>
      <c r="C37" s="42">
        <f>C33*Model!$B$38</f>
        <v>47022.07471</v>
      </c>
      <c r="D37" s="42">
        <f>D33*Model!$B$38</f>
        <v>117591.8185</v>
      </c>
    </row>
    <row r="38">
      <c r="A38" s="63" t="str">
        <f>concat(concat("Total Storage PreOps (",Model!$G$11), " pricing)")</f>
        <v>Total Storage PreOps (2020 pricing)</v>
      </c>
      <c r="B38" s="42">
        <f t="shared" ref="B38:D38" si="9">sum(B34:B37)</f>
        <v>311927.4411</v>
      </c>
      <c r="C38" s="42">
        <f t="shared" si="9"/>
        <v>95547.90711</v>
      </c>
      <c r="D38" s="42">
        <f t="shared" si="9"/>
        <v>523354.2156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2.63"/>
    <col customWidth="1" min="3" max="3" width="10.13"/>
    <col customWidth="1" min="4" max="4" width="10.63"/>
    <col customWidth="1" min="5" max="5" width="12.38"/>
    <col customWidth="1" min="6" max="6" width="13.63"/>
    <col customWidth="1" min="12" max="12" width="12.0"/>
  </cols>
  <sheetData>
    <row r="1">
      <c r="A1" s="1"/>
      <c r="B1" s="2"/>
      <c r="C1" s="2"/>
      <c r="D1" s="2"/>
      <c r="E1" s="2"/>
      <c r="F1" s="2"/>
      <c r="G1" s="2"/>
      <c r="K1" s="66"/>
    </row>
    <row r="2">
      <c r="A2" s="1" t="s">
        <v>215</v>
      </c>
      <c r="B2" s="2" t="s">
        <v>216</v>
      </c>
      <c r="C2" s="2">
        <v>11.0</v>
      </c>
      <c r="D2" s="2">
        <v>0.0</v>
      </c>
      <c r="E2" s="2"/>
      <c r="F2" s="2"/>
      <c r="G2" s="2"/>
      <c r="K2" s="66"/>
    </row>
    <row r="3">
      <c r="A3" s="67" t="s">
        <v>217</v>
      </c>
      <c r="B3" s="5">
        <v>2024.0</v>
      </c>
      <c r="C3" s="5">
        <f t="shared" ref="C3:M3" si="1">B3+1</f>
        <v>2025</v>
      </c>
      <c r="D3" s="5">
        <f t="shared" si="1"/>
        <v>2026</v>
      </c>
      <c r="E3" s="5">
        <f t="shared" si="1"/>
        <v>2027</v>
      </c>
      <c r="F3" s="5">
        <f t="shared" si="1"/>
        <v>2028</v>
      </c>
      <c r="G3" s="5">
        <f t="shared" si="1"/>
        <v>2029</v>
      </c>
      <c r="H3" s="5">
        <f t="shared" si="1"/>
        <v>2030</v>
      </c>
      <c r="I3" s="5">
        <f t="shared" si="1"/>
        <v>2031</v>
      </c>
      <c r="J3" s="5">
        <f t="shared" si="1"/>
        <v>2032</v>
      </c>
      <c r="K3" s="68">
        <f t="shared" si="1"/>
        <v>2033</v>
      </c>
      <c r="L3" s="5">
        <f t="shared" si="1"/>
        <v>2034</v>
      </c>
      <c r="M3" s="5">
        <f t="shared" si="1"/>
        <v>2035</v>
      </c>
    </row>
    <row r="4">
      <c r="A4" s="2" t="s">
        <v>218</v>
      </c>
      <c r="B4" s="64">
        <f t="shared" ref="B4:M4" si="2">B50</f>
        <v>4.197583296</v>
      </c>
      <c r="C4" s="64">
        <f t="shared" si="2"/>
        <v>4.986688547</v>
      </c>
      <c r="D4" s="64">
        <f t="shared" si="2"/>
        <v>4.9873463</v>
      </c>
      <c r="E4" s="64">
        <f t="shared" si="2"/>
        <v>5.133415947</v>
      </c>
      <c r="F4" s="64">
        <f t="shared" si="2"/>
        <v>5.505048993</v>
      </c>
      <c r="G4" s="64">
        <f t="shared" si="2"/>
        <v>7.209277844</v>
      </c>
      <c r="H4" s="64">
        <f t="shared" si="2"/>
        <v>6.286252545</v>
      </c>
      <c r="I4" s="64">
        <f t="shared" si="2"/>
        <v>6.371834716</v>
      </c>
      <c r="J4" s="64">
        <f t="shared" si="2"/>
        <v>6.37954168</v>
      </c>
      <c r="K4" s="64">
        <f t="shared" si="2"/>
        <v>6.24890933</v>
      </c>
      <c r="L4" s="64">
        <f t="shared" si="2"/>
        <v>3.199454665</v>
      </c>
      <c r="M4" s="64">
        <f t="shared" si="2"/>
        <v>1.674727333</v>
      </c>
    </row>
    <row r="5">
      <c r="A5" s="2" t="s">
        <v>219</v>
      </c>
      <c r="B5" s="64">
        <f t="shared" ref="B5:M5" si="3">B31</f>
        <v>0.9648554373</v>
      </c>
      <c r="C5" s="64">
        <f t="shared" si="3"/>
        <v>0.8657812074</v>
      </c>
      <c r="D5" s="64">
        <f t="shared" si="3"/>
        <v>0.8365578831</v>
      </c>
      <c r="E5" s="64">
        <f t="shared" si="3"/>
        <v>0.7005805464</v>
      </c>
      <c r="F5" s="64">
        <f t="shared" si="3"/>
        <v>0.7463418118</v>
      </c>
      <c r="G5" s="64">
        <f t="shared" si="3"/>
        <v>1.414427977</v>
      </c>
      <c r="H5" s="64">
        <f t="shared" si="3"/>
        <v>1.146136853</v>
      </c>
      <c r="I5" s="64">
        <f t="shared" si="3"/>
        <v>1.132588341</v>
      </c>
      <c r="J5" s="64">
        <f t="shared" si="3"/>
        <v>1.004084487</v>
      </c>
      <c r="K5" s="64">
        <f t="shared" si="3"/>
        <v>1.053257198</v>
      </c>
      <c r="L5" s="64">
        <f t="shared" si="3"/>
        <v>0.6873722495</v>
      </c>
      <c r="M5" s="64">
        <f t="shared" si="3"/>
        <v>0.1098771789</v>
      </c>
    </row>
    <row r="6">
      <c r="A6" s="1" t="s">
        <v>26</v>
      </c>
      <c r="B6" s="69">
        <f t="shared" ref="B6:M6" si="4">sum(B4:B5)</f>
        <v>5.162438733</v>
      </c>
      <c r="C6" s="69">
        <f t="shared" si="4"/>
        <v>5.852469755</v>
      </c>
      <c r="D6" s="69">
        <f t="shared" si="4"/>
        <v>5.823904183</v>
      </c>
      <c r="E6" s="69">
        <f t="shared" si="4"/>
        <v>5.833996493</v>
      </c>
      <c r="F6" s="69">
        <f t="shared" si="4"/>
        <v>6.251390805</v>
      </c>
      <c r="G6" s="69">
        <f t="shared" si="4"/>
        <v>8.623705821</v>
      </c>
      <c r="H6" s="69">
        <f t="shared" si="4"/>
        <v>7.432389398</v>
      </c>
      <c r="I6" s="69">
        <f t="shared" si="4"/>
        <v>7.504423057</v>
      </c>
      <c r="J6" s="69">
        <f t="shared" si="4"/>
        <v>7.383626167</v>
      </c>
      <c r="K6" s="69">
        <f t="shared" si="4"/>
        <v>7.302166529</v>
      </c>
      <c r="L6" s="69">
        <f t="shared" si="4"/>
        <v>3.886826915</v>
      </c>
      <c r="M6" s="69">
        <f t="shared" si="4"/>
        <v>1.784604511</v>
      </c>
    </row>
    <row r="7">
      <c r="A7" s="1" t="str">
        <f>concat("Total Operations hardware to ", $K$3)</f>
        <v>Total Operations hardware to 2033</v>
      </c>
      <c r="B7" s="69">
        <f>sum(B6:K6)</f>
        <v>67.17051094</v>
      </c>
      <c r="C7" s="1" t="s">
        <v>202</v>
      </c>
      <c r="D7" s="1" t="str">
        <f>concat("to ",$M$3)</f>
        <v>to 2035</v>
      </c>
      <c r="E7" s="69">
        <f>sum(B6:M6)</f>
        <v>72.84194237</v>
      </c>
      <c r="G7" s="2"/>
      <c r="K7" s="66"/>
    </row>
    <row r="8">
      <c r="K8" s="66"/>
    </row>
    <row r="9">
      <c r="A9" s="1" t="s">
        <v>220</v>
      </c>
      <c r="B9" s="2" t="s">
        <v>221</v>
      </c>
      <c r="C9" s="2">
        <v>11.0</v>
      </c>
      <c r="D9" s="2">
        <v>0.0</v>
      </c>
      <c r="K9" s="66"/>
    </row>
    <row r="10">
      <c r="A10" s="67" t="s">
        <v>217</v>
      </c>
      <c r="B10" s="5">
        <f t="shared" ref="B10:M10" si="5">B3</f>
        <v>2024</v>
      </c>
      <c r="C10" s="5">
        <f t="shared" si="5"/>
        <v>2025</v>
      </c>
      <c r="D10" s="5">
        <f t="shared" si="5"/>
        <v>2026</v>
      </c>
      <c r="E10" s="5">
        <f t="shared" si="5"/>
        <v>2027</v>
      </c>
      <c r="F10" s="5">
        <f t="shared" si="5"/>
        <v>2028</v>
      </c>
      <c r="G10" s="5">
        <f t="shared" si="5"/>
        <v>2029</v>
      </c>
      <c r="H10" s="5">
        <f t="shared" si="5"/>
        <v>2030</v>
      </c>
      <c r="I10" s="5">
        <f t="shared" si="5"/>
        <v>2031</v>
      </c>
      <c r="J10" s="5">
        <f t="shared" si="5"/>
        <v>2032</v>
      </c>
      <c r="K10" s="68">
        <f t="shared" si="5"/>
        <v>2033</v>
      </c>
      <c r="L10" s="5">
        <f t="shared" si="5"/>
        <v>2034</v>
      </c>
      <c r="M10" s="5">
        <f t="shared" si="5"/>
        <v>2035</v>
      </c>
      <c r="N10" s="2" t="s">
        <v>222</v>
      </c>
    </row>
    <row r="11">
      <c r="A11" s="63" t="str">
        <f>concat(concat("Compute (",Model!$G$11), " pricing)")</f>
        <v>Compute (2020 pricing)</v>
      </c>
      <c r="B11" s="42">
        <f t="shared" ref="B11:K11" si="6">B115</f>
        <v>0.04</v>
      </c>
      <c r="C11" s="42">
        <f t="shared" si="6"/>
        <v>0.04</v>
      </c>
      <c r="D11" s="42">
        <f t="shared" si="6"/>
        <v>0.04</v>
      </c>
      <c r="E11" s="42">
        <f t="shared" si="6"/>
        <v>0.08</v>
      </c>
      <c r="F11" s="42">
        <f t="shared" si="6"/>
        <v>0.07</v>
      </c>
      <c r="G11" s="42">
        <f t="shared" si="6"/>
        <v>0.07</v>
      </c>
      <c r="H11" s="42">
        <f t="shared" si="6"/>
        <v>0.07</v>
      </c>
      <c r="I11" s="42">
        <f t="shared" si="6"/>
        <v>0.07</v>
      </c>
      <c r="J11" s="42">
        <f t="shared" si="6"/>
        <v>0.07</v>
      </c>
      <c r="K11" s="70">
        <f t="shared" si="6"/>
        <v>0.07</v>
      </c>
      <c r="L11" s="42">
        <f t="shared" ref="L11:L13" si="7">0.5*K11</f>
        <v>0.035</v>
      </c>
      <c r="N11" s="42">
        <f t="shared" ref="N11:N19" si="8">sum(B11:M11)</f>
        <v>0.655</v>
      </c>
    </row>
    <row r="12">
      <c r="A12" s="2" t="str">
        <f>concat(concat("Qserv (",Model!$G$11), " pricing)")</f>
        <v>Qserv (2020 pricing)</v>
      </c>
      <c r="B12" s="42">
        <f>B76 *Model!$E$27/1000000</f>
        <v>1.9</v>
      </c>
      <c r="C12" s="42">
        <f>C76 *Model!$E$27/1000000</f>
        <v>2.42</v>
      </c>
      <c r="D12" s="42">
        <f>D76 *Model!$E$27/1000000</f>
        <v>1.86</v>
      </c>
      <c r="E12" s="42">
        <f>E76 *Model!$E$27/1000000</f>
        <v>2.68</v>
      </c>
      <c r="F12" s="42">
        <f>F76 *Model!$E$27/1000000</f>
        <v>2.74</v>
      </c>
      <c r="G12" s="42">
        <f>G76 *Model!$E$27/1000000</f>
        <v>3.6</v>
      </c>
      <c r="H12" s="42">
        <f>H76 *Model!$E$27/1000000</f>
        <v>2.38</v>
      </c>
      <c r="I12" s="42">
        <f>I76 *Model!$E$27/1000000</f>
        <v>2.18</v>
      </c>
      <c r="J12" s="42">
        <f>J76 *Model!$E$27/1000000</f>
        <v>2.78</v>
      </c>
      <c r="K12" s="70">
        <f>K76 *Model!$E$27/1000000</f>
        <v>3.4</v>
      </c>
      <c r="L12" s="42">
        <f t="shared" si="7"/>
        <v>1.7</v>
      </c>
      <c r="N12" s="42">
        <f t="shared" si="8"/>
        <v>27.64</v>
      </c>
    </row>
    <row r="13">
      <c r="A13" s="2" t="str">
        <f>concat(concat("Storage (",Model!$G$11), " pricing)")</f>
        <v>Storage (2020 pricing)</v>
      </c>
      <c r="B13" s="42">
        <f t="shared" ref="B13:K13" si="9">B152</f>
        <v>0.8418</v>
      </c>
      <c r="C13" s="42">
        <f t="shared" si="9"/>
        <v>0.61957</v>
      </c>
      <c r="D13" s="42">
        <f t="shared" si="9"/>
        <v>0.60393</v>
      </c>
      <c r="E13" s="42">
        <f t="shared" si="9"/>
        <v>0.42319</v>
      </c>
      <c r="F13" s="42">
        <f t="shared" si="9"/>
        <v>0.41072</v>
      </c>
      <c r="G13" s="42">
        <f t="shared" si="9"/>
        <v>1.25299</v>
      </c>
      <c r="H13" s="42">
        <f t="shared" si="9"/>
        <v>1.03036</v>
      </c>
      <c r="I13" s="42">
        <f t="shared" si="9"/>
        <v>1.01472</v>
      </c>
      <c r="J13" s="42">
        <f t="shared" si="9"/>
        <v>0.83438</v>
      </c>
      <c r="K13" s="70">
        <f t="shared" si="9"/>
        <v>0.82151</v>
      </c>
      <c r="L13" s="42">
        <f t="shared" si="7"/>
        <v>0.410755</v>
      </c>
      <c r="N13" s="42">
        <f t="shared" si="8"/>
        <v>8.263925</v>
      </c>
    </row>
    <row r="14">
      <c r="A14" s="1" t="str">
        <f>concat(concat("Total (",Model!$G$11), " pricing)")</f>
        <v>Total (2020 pricing)</v>
      </c>
      <c r="B14" s="71">
        <f t="shared" ref="B14:L14" si="10">sum(B11:B13)</f>
        <v>2.7818</v>
      </c>
      <c r="C14" s="71">
        <f t="shared" si="10"/>
        <v>3.07957</v>
      </c>
      <c r="D14" s="71">
        <f t="shared" si="10"/>
        <v>2.50393</v>
      </c>
      <c r="E14" s="71">
        <f t="shared" si="10"/>
        <v>3.18319</v>
      </c>
      <c r="F14" s="71">
        <f t="shared" si="10"/>
        <v>3.22072</v>
      </c>
      <c r="G14" s="71">
        <f t="shared" si="10"/>
        <v>4.92299</v>
      </c>
      <c r="H14" s="71">
        <f t="shared" si="10"/>
        <v>3.48036</v>
      </c>
      <c r="I14" s="71">
        <f t="shared" si="10"/>
        <v>3.26472</v>
      </c>
      <c r="J14" s="71">
        <f t="shared" si="10"/>
        <v>3.68438</v>
      </c>
      <c r="K14" s="72">
        <f t="shared" si="10"/>
        <v>4.29151</v>
      </c>
      <c r="L14" s="71">
        <f t="shared" si="10"/>
        <v>2.145755</v>
      </c>
      <c r="N14" s="73">
        <f t="shared" si="8"/>
        <v>36.558925</v>
      </c>
    </row>
    <row r="15">
      <c r="A15" s="2" t="s">
        <v>198</v>
      </c>
      <c r="B15" s="74">
        <f>B$11*pow(cpuFac, B$10 -scaleYear)</f>
        <v>0.026244</v>
      </c>
      <c r="C15" s="74">
        <f>C$11*pow(cpuFac, C$10 -scaleYear)</f>
        <v>0.0236196</v>
      </c>
      <c r="D15" s="74">
        <f>D$11*pow(cpuFac, D$10 -scaleYear)</f>
        <v>0.02125764</v>
      </c>
      <c r="E15" s="74">
        <f>E$11*pow(cpuFac, E$10 -scaleYear)</f>
        <v>0.038263752</v>
      </c>
      <c r="F15" s="74">
        <f>F$11*pow(cpuFac, F$10 -scaleYear)</f>
        <v>0.0301327047</v>
      </c>
      <c r="G15" s="74">
        <f>G$11*pow(cpuFac, G$10 -scaleYear)</f>
        <v>0.02711943423</v>
      </c>
      <c r="H15" s="74">
        <f>H$11*pow(cpuFac, H$10 -scaleYear)</f>
        <v>0.02440749081</v>
      </c>
      <c r="I15" s="74">
        <f>I$11*pow(cpuFac, I$10 -scaleYear)</f>
        <v>0.02196674173</v>
      </c>
      <c r="J15" s="74">
        <f>J$11*pow(cpuFac, J$10 -scaleYear)</f>
        <v>0.01977006755</v>
      </c>
      <c r="K15" s="75">
        <f>K$11*pow(cpuFac, K$10 -scaleYear)</f>
        <v>0.0177930608</v>
      </c>
      <c r="L15" s="57">
        <f t="shared" ref="L15:L17" si="11">0.5*K15</f>
        <v>0.008896530399</v>
      </c>
      <c r="N15" s="57">
        <f t="shared" si="8"/>
        <v>0.2594710222</v>
      </c>
    </row>
    <row r="16">
      <c r="A16" s="2" t="s">
        <v>199</v>
      </c>
      <c r="B16" s="74">
        <f>B$12*pow(qservFac, B$10 -scaleYear)</f>
        <v>1.390978867</v>
      </c>
      <c r="C16" s="74">
        <f>C$12*pow(qservFac, C$10 -scaleYear)</f>
        <v>1.638792734</v>
      </c>
      <c r="D16" s="74">
        <f>D$12*pow(qservFac, D$10 -scaleYear)</f>
        <v>1.165100371</v>
      </c>
      <c r="E16" s="74">
        <f>E$12*pow(qservFac, E$10 -scaleYear)</f>
        <v>1.552840764</v>
      </c>
      <c r="F16" s="74">
        <f>F$12*pow(qservFac, F$10 -scaleYear)</f>
        <v>1.468535416</v>
      </c>
      <c r="G16" s="74">
        <f>G$12*pow(qservFac, G$10 -scaleYear)</f>
        <v>1.784752896</v>
      </c>
      <c r="H16" s="74">
        <f>H$12*pow(qservFac, H$10 -scaleYear)</f>
        <v>1.091425973</v>
      </c>
      <c r="I16" s="74">
        <f>I$12*pow(qservFac, I$10 -scaleYear)</f>
        <v>0.9247312915</v>
      </c>
      <c r="J16" s="74">
        <f>J$12*pow(qservFac, J$10 -scaleYear)</f>
        <v>1.090801154</v>
      </c>
      <c r="K16" s="75">
        <f>K$12*pow(qservFac, K$10 -scaleYear)</f>
        <v>1.234017852</v>
      </c>
      <c r="L16" s="57">
        <f t="shared" si="11"/>
        <v>0.6170089262</v>
      </c>
      <c r="N16" s="57">
        <f t="shared" si="8"/>
        <v>13.95898625</v>
      </c>
    </row>
    <row r="17">
      <c r="A17" s="2" t="s">
        <v>200</v>
      </c>
      <c r="B17" s="74">
        <f>B$13*pow(diskFac, B$10 -scaleYear)</f>
        <v>0.6856513613</v>
      </c>
      <c r="C17" s="74">
        <f>C$13*pow(diskFac, C$10 -scaleYear)</f>
        <v>0.4794114554</v>
      </c>
      <c r="D17" s="74">
        <f>D$13*pow(diskFac, D$10 -scaleYear)</f>
        <v>0.4439440455</v>
      </c>
      <c r="E17" s="74">
        <f>E$13*pow(diskFac, E$10 -scaleYear)</f>
        <v>0.2955293603</v>
      </c>
      <c r="F17" s="74">
        <f>F$13*pow(diskFac, F$10 -scaleYear)</f>
        <v>0.2724800395</v>
      </c>
      <c r="G17" s="74">
        <f>G$13*pow(diskFac, G$10 -scaleYear)</f>
        <v>0.7896962079</v>
      </c>
      <c r="H17" s="74">
        <f>H$13*pow(diskFac, H$10 -scaleYear)</f>
        <v>0.6169145927</v>
      </c>
      <c r="I17" s="74">
        <f>I$13*pow(diskFac, I$10 -scaleYear)</f>
        <v>0.5771728296</v>
      </c>
      <c r="J17" s="74">
        <f>J$13*pow(diskFac, J$10 -scaleYear)</f>
        <v>0.4508656499</v>
      </c>
      <c r="K17" s="75">
        <f>K$13*pow(diskFac, K$10 -scaleYear)</f>
        <v>0.4217156548</v>
      </c>
      <c r="L17" s="57">
        <f t="shared" si="11"/>
        <v>0.2108578274</v>
      </c>
      <c r="N17" s="57">
        <f t="shared" si="8"/>
        <v>5.244239025</v>
      </c>
    </row>
    <row r="18">
      <c r="A18" s="38" t="s">
        <v>223</v>
      </c>
      <c r="B18" s="64">
        <f>B$188/1000000</f>
        <v>0.252960076</v>
      </c>
      <c r="C18" s="64">
        <f t="shared" ref="C18:L18" si="12">C188/1000000</f>
        <v>0.362750152</v>
      </c>
      <c r="D18" s="64">
        <f t="shared" si="12"/>
        <v>0.3713561976</v>
      </c>
      <c r="E18" s="64">
        <f t="shared" si="12"/>
        <v>0.3667874341</v>
      </c>
      <c r="F18" s="64">
        <f t="shared" si="12"/>
        <v>0.4437290675</v>
      </c>
      <c r="G18" s="64">
        <f t="shared" si="12"/>
        <v>0.5976123344</v>
      </c>
      <c r="H18" s="64">
        <f t="shared" si="12"/>
        <v>0.5048147694</v>
      </c>
      <c r="I18" s="64">
        <f t="shared" si="12"/>
        <v>0.5334487694</v>
      </c>
      <c r="J18" s="64">
        <f t="shared" si="12"/>
        <v>0.5334487694</v>
      </c>
      <c r="K18" s="64">
        <f t="shared" si="12"/>
        <v>0.6137484829</v>
      </c>
      <c r="L18" s="64">
        <f t="shared" si="12"/>
        <v>0.4676178917</v>
      </c>
      <c r="N18" s="57">
        <f t="shared" si="8"/>
        <v>5.048273944</v>
      </c>
    </row>
    <row r="19">
      <c r="A19" s="1" t="s">
        <v>26</v>
      </c>
      <c r="B19" s="69">
        <f t="shared" ref="B19:L19" si="13">sum(B15:B18)</f>
        <v>2.355834304</v>
      </c>
      <c r="C19" s="69">
        <f t="shared" si="13"/>
        <v>2.504573941</v>
      </c>
      <c r="D19" s="69">
        <f t="shared" si="13"/>
        <v>2.001658254</v>
      </c>
      <c r="E19" s="69">
        <f t="shared" si="13"/>
        <v>2.25342131</v>
      </c>
      <c r="F19" s="69">
        <f t="shared" si="13"/>
        <v>2.214877228</v>
      </c>
      <c r="G19" s="69">
        <f t="shared" si="13"/>
        <v>3.199180873</v>
      </c>
      <c r="H19" s="69">
        <f t="shared" si="13"/>
        <v>2.237562826</v>
      </c>
      <c r="I19" s="69">
        <f t="shared" si="13"/>
        <v>2.057319632</v>
      </c>
      <c r="J19" s="69">
        <f t="shared" si="13"/>
        <v>2.094885641</v>
      </c>
      <c r="K19" s="69">
        <f t="shared" si="13"/>
        <v>2.287275051</v>
      </c>
      <c r="L19" s="69">
        <f t="shared" si="13"/>
        <v>1.304381176</v>
      </c>
      <c r="N19" s="57">
        <f t="shared" si="8"/>
        <v>24.51097024</v>
      </c>
    </row>
    <row r="20">
      <c r="A20" s="1" t="str">
        <f>concat("Total Operations hardware to ", $K$3)</f>
        <v>Total Operations hardware to 2033</v>
      </c>
      <c r="B20" s="69">
        <f>sum(B19:K19)</f>
        <v>23.20658906</v>
      </c>
      <c r="C20" s="1" t="s">
        <v>202</v>
      </c>
      <c r="D20" s="1" t="str">
        <f>concat("to ",$M$3)</f>
        <v>to 2035</v>
      </c>
      <c r="E20" s="69">
        <f>sum(B19:M19)</f>
        <v>24.51097024</v>
      </c>
      <c r="K20" s="66"/>
    </row>
    <row r="21">
      <c r="K21" s="66"/>
    </row>
    <row r="22">
      <c r="A22" s="1"/>
      <c r="B22" s="2"/>
      <c r="C22" s="2"/>
      <c r="D22" s="2"/>
      <c r="E22" s="2"/>
      <c r="F22" s="2"/>
      <c r="G22" s="2"/>
      <c r="K22" s="66"/>
    </row>
    <row r="23">
      <c r="A23" s="1" t="s">
        <v>224</v>
      </c>
      <c r="B23" s="2" t="s">
        <v>225</v>
      </c>
      <c r="C23" s="2">
        <v>11.0</v>
      </c>
      <c r="D23" s="2">
        <v>0.0</v>
      </c>
      <c r="K23" s="66"/>
    </row>
    <row r="24">
      <c r="A24" s="67" t="s">
        <v>217</v>
      </c>
      <c r="B24" s="5">
        <f t="shared" ref="B24:M24" si="14">B$3</f>
        <v>2024</v>
      </c>
      <c r="C24" s="5">
        <f t="shared" si="14"/>
        <v>2025</v>
      </c>
      <c r="D24" s="5">
        <f t="shared" si="14"/>
        <v>2026</v>
      </c>
      <c r="E24" s="5">
        <f t="shared" si="14"/>
        <v>2027</v>
      </c>
      <c r="F24" s="5">
        <f t="shared" si="14"/>
        <v>2028</v>
      </c>
      <c r="G24" s="5">
        <f t="shared" si="14"/>
        <v>2029</v>
      </c>
      <c r="H24" s="5">
        <f t="shared" si="14"/>
        <v>2030</v>
      </c>
      <c r="I24" s="5">
        <f t="shared" si="14"/>
        <v>2031</v>
      </c>
      <c r="J24" s="5">
        <f t="shared" si="14"/>
        <v>2032</v>
      </c>
      <c r="K24" s="5">
        <f t="shared" si="14"/>
        <v>2033</v>
      </c>
      <c r="L24" s="5">
        <f t="shared" si="14"/>
        <v>2034</v>
      </c>
      <c r="M24" s="5">
        <f t="shared" si="14"/>
        <v>2035</v>
      </c>
      <c r="N24" s="2" t="s">
        <v>222</v>
      </c>
    </row>
    <row r="25">
      <c r="A25" s="63" t="str">
        <f>concat(concat("Compute (",Model!$G$11), " pricing)")</f>
        <v>Compute (2020 pricing)</v>
      </c>
      <c r="B25" s="42">
        <f t="shared" ref="B25:K25" si="15">B136</f>
        <v>0.039</v>
      </c>
      <c r="C25" s="42">
        <f t="shared" si="15"/>
        <v>0.039</v>
      </c>
      <c r="D25" s="42">
        <f t="shared" si="15"/>
        <v>0.039</v>
      </c>
      <c r="E25" s="42">
        <f t="shared" si="15"/>
        <v>0.078</v>
      </c>
      <c r="F25" s="42">
        <f t="shared" si="15"/>
        <v>0.078</v>
      </c>
      <c r="G25" s="42">
        <f t="shared" si="15"/>
        <v>0.078</v>
      </c>
      <c r="H25" s="42">
        <f t="shared" si="15"/>
        <v>0.078</v>
      </c>
      <c r="I25" s="42">
        <f t="shared" si="15"/>
        <v>0.078</v>
      </c>
      <c r="J25" s="42">
        <f t="shared" si="15"/>
        <v>0.078</v>
      </c>
      <c r="K25" s="42">
        <f t="shared" si="15"/>
        <v>0.078</v>
      </c>
      <c r="L25" s="42">
        <f t="shared" ref="L25:M25" si="16">0.5*K25</f>
        <v>0.039</v>
      </c>
      <c r="M25" s="42">
        <f t="shared" si="16"/>
        <v>0.0195</v>
      </c>
      <c r="N25" s="42">
        <f t="shared" ref="N25:N31" si="19">sum(B25:M25)</f>
        <v>0.7215</v>
      </c>
    </row>
    <row r="26">
      <c r="A26" s="2" t="str">
        <f>concat(concat("Storage (",Model!$G$11), " pricing)")</f>
        <v>Storage (2020 pricing)</v>
      </c>
      <c r="B26" s="42">
        <f t="shared" ref="B26:K26" si="17">B152</f>
        <v>0.8418</v>
      </c>
      <c r="C26" s="42">
        <f t="shared" si="17"/>
        <v>0.61957</v>
      </c>
      <c r="D26" s="42">
        <f t="shared" si="17"/>
        <v>0.60393</v>
      </c>
      <c r="E26" s="42">
        <f t="shared" si="17"/>
        <v>0.42319</v>
      </c>
      <c r="F26" s="42">
        <f t="shared" si="17"/>
        <v>0.41072</v>
      </c>
      <c r="G26" s="42">
        <f t="shared" si="17"/>
        <v>1.25299</v>
      </c>
      <c r="H26" s="42">
        <f t="shared" si="17"/>
        <v>1.03036</v>
      </c>
      <c r="I26" s="42">
        <f t="shared" si="17"/>
        <v>1.01472</v>
      </c>
      <c r="J26" s="42">
        <f t="shared" si="17"/>
        <v>0.83438</v>
      </c>
      <c r="K26" s="42">
        <f t="shared" si="17"/>
        <v>0.82151</v>
      </c>
      <c r="L26" s="42">
        <f t="shared" ref="L26:M26" si="18">0.5*K26</f>
        <v>0.410755</v>
      </c>
      <c r="M26" s="42">
        <f t="shared" si="18"/>
        <v>0.2053775</v>
      </c>
      <c r="N26" s="42">
        <f t="shared" si="19"/>
        <v>8.4693025</v>
      </c>
    </row>
    <row r="27">
      <c r="A27" s="1" t="str">
        <f>concat(concat("Total (",Model!$G$11), " pricing)")</f>
        <v>Total (2020 pricing)</v>
      </c>
      <c r="B27" s="71">
        <f t="shared" ref="B27:K27" si="20">sum(B25:B26)</f>
        <v>0.8808</v>
      </c>
      <c r="C27" s="71">
        <f t="shared" si="20"/>
        <v>0.65857</v>
      </c>
      <c r="D27" s="71">
        <f t="shared" si="20"/>
        <v>0.64293</v>
      </c>
      <c r="E27" s="71">
        <f t="shared" si="20"/>
        <v>0.50119</v>
      </c>
      <c r="F27" s="71">
        <f t="shared" si="20"/>
        <v>0.48872</v>
      </c>
      <c r="G27" s="71">
        <f t="shared" si="20"/>
        <v>1.33099</v>
      </c>
      <c r="H27" s="71">
        <f t="shared" si="20"/>
        <v>1.10836</v>
      </c>
      <c r="I27" s="71">
        <f t="shared" si="20"/>
        <v>1.09272</v>
      </c>
      <c r="J27" s="71">
        <f t="shared" si="20"/>
        <v>0.91238</v>
      </c>
      <c r="K27" s="71">
        <f t="shared" si="20"/>
        <v>0.89951</v>
      </c>
      <c r="L27" s="73">
        <f t="shared" ref="L27:M27" si="21">0.5*K27</f>
        <v>0.449755</v>
      </c>
      <c r="M27" s="73">
        <f t="shared" si="21"/>
        <v>0.2248775</v>
      </c>
      <c r="N27" s="73">
        <f t="shared" si="19"/>
        <v>9.1908025</v>
      </c>
    </row>
    <row r="28">
      <c r="A28" s="2" t="s">
        <v>198</v>
      </c>
      <c r="B28" s="74">
        <f>B$11*pow(cpuFac, B$10 -scaleYear)</f>
        <v>0.026244</v>
      </c>
      <c r="C28" s="74">
        <f>C$11*pow(cpuFac, C$10 -scaleYear)</f>
        <v>0.0236196</v>
      </c>
      <c r="D28" s="74">
        <f>D$11*pow(cpuFac, D$10 -scaleYear)</f>
        <v>0.02125764</v>
      </c>
      <c r="E28" s="74">
        <f>E$11*pow(cpuFac, E$10 -scaleYear)</f>
        <v>0.038263752</v>
      </c>
      <c r="F28" s="74">
        <f>F$11*pow(cpuFac, F$10 -scaleYear)</f>
        <v>0.0301327047</v>
      </c>
      <c r="G28" s="74">
        <f>G$11*pow(cpuFac, G$10 -scaleYear)</f>
        <v>0.02711943423</v>
      </c>
      <c r="H28" s="74">
        <f>H$11*pow(cpuFac, H$10 -scaleYear)</f>
        <v>0.02440749081</v>
      </c>
      <c r="I28" s="74">
        <f>I$11*pow(cpuFac, I$10 -scaleYear)</f>
        <v>0.02196674173</v>
      </c>
      <c r="J28" s="74">
        <f>J$11*pow(cpuFac, J$10 -scaleYear)</f>
        <v>0.01977006755</v>
      </c>
      <c r="K28" s="75">
        <f>K$11*pow(cpuFac, K$10 -scaleYear)</f>
        <v>0.0177930608</v>
      </c>
      <c r="L28" s="57">
        <f t="shared" ref="L28:M28" si="22">0.5*K28</f>
        <v>0.008896530399</v>
      </c>
      <c r="M28" s="57">
        <f t="shared" si="22"/>
        <v>0.0044482652</v>
      </c>
      <c r="N28" s="57">
        <f t="shared" si="19"/>
        <v>0.2639192874</v>
      </c>
    </row>
    <row r="29">
      <c r="A29" s="2" t="s">
        <v>200</v>
      </c>
      <c r="B29" s="74">
        <f>B$26*pow(diskFac, B$10 -scaleYear)</f>
        <v>0.6856513613</v>
      </c>
      <c r="C29" s="74">
        <f>C$26*pow(diskFac, C$10 -scaleYear)</f>
        <v>0.4794114554</v>
      </c>
      <c r="D29" s="74">
        <f>D$26*pow(diskFac, D$10 -scaleYear)</f>
        <v>0.4439440455</v>
      </c>
      <c r="E29" s="74">
        <f>E$26*pow(diskFac, E$10 -scaleYear)</f>
        <v>0.2955293603</v>
      </c>
      <c r="F29" s="74">
        <f>F$26*pow(diskFac, F$10 -scaleYear)</f>
        <v>0.2724800395</v>
      </c>
      <c r="G29" s="74">
        <f>G$26*pow(diskFac, G$10 -scaleYear)</f>
        <v>0.7896962079</v>
      </c>
      <c r="H29" s="74">
        <f>H$26*pow(diskFac, H$10 -scaleYear)</f>
        <v>0.6169145927</v>
      </c>
      <c r="I29" s="74">
        <f>I$26*pow(diskFac, I$10 -scaleYear)</f>
        <v>0.5771728296</v>
      </c>
      <c r="J29" s="74">
        <f>J$26*pow(diskFac, J$10 -scaleYear)</f>
        <v>0.4508656499</v>
      </c>
      <c r="K29" s="74">
        <f>K$26*pow(diskFac, K$10 -scaleYear)</f>
        <v>0.4217156548</v>
      </c>
      <c r="L29" s="57">
        <f t="shared" ref="L29:M29" si="23">0.5*K29</f>
        <v>0.2108578274</v>
      </c>
      <c r="M29" s="57">
        <f t="shared" si="23"/>
        <v>0.1054289137</v>
      </c>
      <c r="N29" s="57">
        <f t="shared" si="19"/>
        <v>5.349667938</v>
      </c>
    </row>
    <row r="30">
      <c r="A30" s="38" t="s">
        <v>223</v>
      </c>
      <c r="B30" s="64">
        <f t="shared" ref="B30:M30" si="24">B$188/1000000</f>
        <v>0.252960076</v>
      </c>
      <c r="C30" s="64">
        <f t="shared" si="24"/>
        <v>0.362750152</v>
      </c>
      <c r="D30" s="64">
        <f t="shared" si="24"/>
        <v>0.3713561976</v>
      </c>
      <c r="E30" s="64">
        <f t="shared" si="24"/>
        <v>0.3667874341</v>
      </c>
      <c r="F30" s="64">
        <f t="shared" si="24"/>
        <v>0.4437290675</v>
      </c>
      <c r="G30" s="64">
        <f t="shared" si="24"/>
        <v>0.5976123344</v>
      </c>
      <c r="H30" s="64">
        <f t="shared" si="24"/>
        <v>0.5048147694</v>
      </c>
      <c r="I30" s="64">
        <f t="shared" si="24"/>
        <v>0.5334487694</v>
      </c>
      <c r="J30" s="64">
        <f t="shared" si="24"/>
        <v>0.5334487694</v>
      </c>
      <c r="K30" s="64">
        <f t="shared" si="24"/>
        <v>0.6137484829</v>
      </c>
      <c r="L30" s="64">
        <f t="shared" si="24"/>
        <v>0.4676178917</v>
      </c>
      <c r="M30" s="64">
        <f t="shared" si="24"/>
        <v>0</v>
      </c>
      <c r="N30" s="57">
        <f t="shared" si="19"/>
        <v>5.048273944</v>
      </c>
    </row>
    <row r="31">
      <c r="A31" s="1" t="s">
        <v>26</v>
      </c>
      <c r="B31" s="69">
        <f t="shared" ref="B31:M31" si="25">sum(B28:B30)</f>
        <v>0.9648554373</v>
      </c>
      <c r="C31" s="69">
        <f t="shared" si="25"/>
        <v>0.8657812074</v>
      </c>
      <c r="D31" s="69">
        <f t="shared" si="25"/>
        <v>0.8365578831</v>
      </c>
      <c r="E31" s="69">
        <f t="shared" si="25"/>
        <v>0.7005805464</v>
      </c>
      <c r="F31" s="69">
        <f t="shared" si="25"/>
        <v>0.7463418118</v>
      </c>
      <c r="G31" s="69">
        <f t="shared" si="25"/>
        <v>1.414427977</v>
      </c>
      <c r="H31" s="69">
        <f t="shared" si="25"/>
        <v>1.146136853</v>
      </c>
      <c r="I31" s="69">
        <f t="shared" si="25"/>
        <v>1.132588341</v>
      </c>
      <c r="J31" s="69">
        <f t="shared" si="25"/>
        <v>1.004084487</v>
      </c>
      <c r="K31" s="69">
        <f t="shared" si="25"/>
        <v>1.053257198</v>
      </c>
      <c r="L31" s="69">
        <f t="shared" si="25"/>
        <v>0.6873722495</v>
      </c>
      <c r="M31" s="69">
        <f t="shared" si="25"/>
        <v>0.1098771789</v>
      </c>
      <c r="N31" s="57">
        <f t="shared" si="19"/>
        <v>10.66186117</v>
      </c>
    </row>
    <row r="32">
      <c r="A32" s="1" t="str">
        <f>concat("Total Chile hardware to ", $K$3)</f>
        <v>Total Chile hardware to 2033</v>
      </c>
      <c r="B32" s="69">
        <f>sum(B31:K31)</f>
        <v>9.864611742</v>
      </c>
      <c r="C32" s="1" t="s">
        <v>202</v>
      </c>
      <c r="D32" s="1" t="str">
        <f>concat("to ",$M$3)</f>
        <v>to 2035</v>
      </c>
      <c r="E32" s="69">
        <f>sum(B31:M31)</f>
        <v>10.66186117</v>
      </c>
      <c r="K32" s="66"/>
    </row>
    <row r="33">
      <c r="A33" s="1"/>
      <c r="B33" s="2"/>
      <c r="C33" s="2"/>
      <c r="D33" s="2"/>
      <c r="E33" s="2"/>
      <c r="F33" s="2"/>
      <c r="G33" s="2"/>
      <c r="K33" s="66"/>
    </row>
    <row r="34">
      <c r="A34" s="1" t="s">
        <v>226</v>
      </c>
      <c r="B34" s="2" t="s">
        <v>227</v>
      </c>
      <c r="C34" s="2">
        <v>11.0</v>
      </c>
      <c r="D34" s="2">
        <v>0.0</v>
      </c>
      <c r="E34" s="2"/>
      <c r="F34" s="2"/>
      <c r="G34" s="2"/>
      <c r="K34" s="66"/>
    </row>
    <row r="35">
      <c r="A35" s="67" t="s">
        <v>217</v>
      </c>
      <c r="B35" s="5">
        <f t="shared" ref="B35:M35" si="26">B3</f>
        <v>2024</v>
      </c>
      <c r="C35" s="5">
        <f t="shared" si="26"/>
        <v>2025</v>
      </c>
      <c r="D35" s="5">
        <f t="shared" si="26"/>
        <v>2026</v>
      </c>
      <c r="E35" s="5">
        <f t="shared" si="26"/>
        <v>2027</v>
      </c>
      <c r="F35" s="5">
        <f t="shared" si="26"/>
        <v>2028</v>
      </c>
      <c r="G35" s="5">
        <f t="shared" si="26"/>
        <v>2029</v>
      </c>
      <c r="H35" s="5">
        <f t="shared" si="26"/>
        <v>2030</v>
      </c>
      <c r="I35" s="5">
        <f t="shared" si="26"/>
        <v>2031</v>
      </c>
      <c r="J35" s="5">
        <f t="shared" si="26"/>
        <v>2032</v>
      </c>
      <c r="K35" s="68">
        <f t="shared" si="26"/>
        <v>2033</v>
      </c>
      <c r="L35" s="5">
        <f t="shared" si="26"/>
        <v>2034</v>
      </c>
      <c r="M35" s="5">
        <f t="shared" si="26"/>
        <v>2035</v>
      </c>
      <c r="N35" s="76" t="s">
        <v>228</v>
      </c>
      <c r="O35" s="77" t="s">
        <v>229</v>
      </c>
    </row>
    <row r="36">
      <c r="A36" s="63" t="str">
        <f>concat(concat("Compute (",Model!$G$11), " pricing) DRP")</f>
        <v>Compute (2020 pricing) DRP</v>
      </c>
      <c r="B36" s="64">
        <f t="shared" ref="B36:K36" si="27">B127</f>
        <v>0.806</v>
      </c>
      <c r="C36" s="64">
        <f t="shared" si="27"/>
        <v>0.858</v>
      </c>
      <c r="D36" s="64">
        <f t="shared" si="27"/>
        <v>1.274</v>
      </c>
      <c r="E36" s="64">
        <f t="shared" si="27"/>
        <v>1.755</v>
      </c>
      <c r="F36" s="64">
        <f t="shared" si="27"/>
        <v>1.807</v>
      </c>
      <c r="G36" s="64">
        <f t="shared" si="27"/>
        <v>1.911</v>
      </c>
      <c r="H36" s="64">
        <f t="shared" si="27"/>
        <v>1.911</v>
      </c>
      <c r="I36" s="64">
        <f t="shared" si="27"/>
        <v>1.911</v>
      </c>
      <c r="J36" s="64">
        <f t="shared" si="27"/>
        <v>1.911</v>
      </c>
      <c r="K36" s="64">
        <f t="shared" si="27"/>
        <v>1.911</v>
      </c>
      <c r="L36" s="57">
        <f t="shared" ref="L36:M36" si="28">0.5*K36</f>
        <v>0.9555</v>
      </c>
      <c r="M36" s="57">
        <f t="shared" si="28"/>
        <v>0.47775</v>
      </c>
      <c r="N36" s="78">
        <f t="shared" ref="N36:N49" si="31">sum(B36:K36)</f>
        <v>16.055</v>
      </c>
      <c r="O36" s="78">
        <f t="shared" ref="O36:O49" si="32">sum(B36:M36)</f>
        <v>17.48825</v>
      </c>
    </row>
    <row r="37">
      <c r="A37" s="63" t="str">
        <f>concat(concat("Compute (",Model!$G$11), " pricing) DAC")</f>
        <v>Compute (2020 pricing) DAC</v>
      </c>
      <c r="B37" s="64">
        <f t="shared" ref="B37:K37" si="29">B129</f>
        <v>0.052</v>
      </c>
      <c r="C37" s="64">
        <f t="shared" si="29"/>
        <v>0.052</v>
      </c>
      <c r="D37" s="64">
        <f t="shared" si="29"/>
        <v>0.078</v>
      </c>
      <c r="E37" s="64">
        <f t="shared" si="29"/>
        <v>0.104</v>
      </c>
      <c r="F37" s="64">
        <f t="shared" si="29"/>
        <v>0.104</v>
      </c>
      <c r="G37" s="64">
        <f t="shared" si="29"/>
        <v>0.117</v>
      </c>
      <c r="H37" s="64">
        <f t="shared" si="29"/>
        <v>0.117</v>
      </c>
      <c r="I37" s="64">
        <f t="shared" si="29"/>
        <v>0.117</v>
      </c>
      <c r="J37" s="64">
        <f t="shared" si="29"/>
        <v>0.117</v>
      </c>
      <c r="K37" s="64">
        <f t="shared" si="29"/>
        <v>0.117</v>
      </c>
      <c r="L37" s="57">
        <f t="shared" ref="L37:M37" si="30">0.5*K37</f>
        <v>0.0585</v>
      </c>
      <c r="M37" s="57">
        <f t="shared" si="30"/>
        <v>0.02925</v>
      </c>
      <c r="N37" s="78">
        <f t="shared" si="31"/>
        <v>0.975</v>
      </c>
      <c r="O37" s="78">
        <f t="shared" si="32"/>
        <v>1.06275</v>
      </c>
    </row>
    <row r="38">
      <c r="A38" s="63" t="str">
        <f>concat(concat("Compute (",Model!$G$11), " pricing) AP")</f>
        <v>Compute (2020 pricing) AP</v>
      </c>
      <c r="B38" s="64">
        <f t="shared" ref="B38:K38" si="33">B131</f>
        <v>0</v>
      </c>
      <c r="C38" s="64">
        <f t="shared" si="33"/>
        <v>0</v>
      </c>
      <c r="D38" s="64">
        <f t="shared" si="33"/>
        <v>0.143</v>
      </c>
      <c r="E38" s="64">
        <f t="shared" si="33"/>
        <v>0</v>
      </c>
      <c r="F38" s="64">
        <f t="shared" si="33"/>
        <v>0</v>
      </c>
      <c r="G38" s="64">
        <f t="shared" si="33"/>
        <v>0.143</v>
      </c>
      <c r="H38" s="64">
        <f t="shared" si="33"/>
        <v>0</v>
      </c>
      <c r="I38" s="64">
        <f t="shared" si="33"/>
        <v>0</v>
      </c>
      <c r="J38" s="64">
        <f t="shared" si="33"/>
        <v>0.143</v>
      </c>
      <c r="K38" s="64">
        <f t="shared" si="33"/>
        <v>0</v>
      </c>
      <c r="L38" s="57">
        <f t="shared" ref="L38:M38" si="34">0.5*K38</f>
        <v>0</v>
      </c>
      <c r="M38" s="57">
        <f t="shared" si="34"/>
        <v>0</v>
      </c>
      <c r="N38" s="78">
        <f t="shared" si="31"/>
        <v>0.429</v>
      </c>
      <c r="O38" s="78">
        <f t="shared" si="32"/>
        <v>0.429</v>
      </c>
    </row>
    <row r="39">
      <c r="A39" s="2" t="str">
        <f>concat(concat("Qserv (",Model!$G$11), " pricing)")</f>
        <v>Qserv (2020 pricing)</v>
      </c>
      <c r="B39" s="64">
        <f>(B74)*Model!$E$27/1000000</f>
        <v>1.62</v>
      </c>
      <c r="C39" s="64">
        <f>(C74)*Model!$E$27/1000000</f>
        <v>2.42</v>
      </c>
      <c r="D39" s="64">
        <f>(D74)*Model!$E$27/1000000</f>
        <v>1.86</v>
      </c>
      <c r="E39" s="64">
        <f>(E74)*Model!$E$27/1000000</f>
        <v>2.4</v>
      </c>
      <c r="F39" s="64">
        <f>(F74)*Model!$E$27/1000000</f>
        <v>2.74</v>
      </c>
      <c r="G39" s="64">
        <f>(G74)*Model!$E$27/1000000</f>
        <v>3.6</v>
      </c>
      <c r="H39" s="64">
        <f>(H74)*Model!$E$27/1000000</f>
        <v>2.1</v>
      </c>
      <c r="I39" s="64">
        <f>(I74)*Model!$E$27/1000000</f>
        <v>2.18</v>
      </c>
      <c r="J39" s="64">
        <f>(J74)*Model!$E$27/1000000</f>
        <v>2.78</v>
      </c>
      <c r="K39" s="79">
        <f>(K74)*Model!$E$27/1000000</f>
        <v>3.12</v>
      </c>
      <c r="L39" s="57">
        <f t="shared" ref="L39:M39" si="35">0.5*K39</f>
        <v>1.56</v>
      </c>
      <c r="M39" s="57">
        <f t="shared" si="35"/>
        <v>0.78</v>
      </c>
      <c r="N39" s="78">
        <f t="shared" si="31"/>
        <v>24.82</v>
      </c>
      <c r="O39" s="78">
        <f t="shared" si="32"/>
        <v>27.16</v>
      </c>
    </row>
    <row r="40">
      <c r="A40" s="2" t="str">
        <f>concat(concat("Storage (",Model!$G$11), " pricing)")</f>
        <v>Storage (2020 pricing)</v>
      </c>
      <c r="B40" s="64">
        <f t="shared" ref="B40:K40" si="36">B160</f>
        <v>2.633885431</v>
      </c>
      <c r="C40" s="64">
        <f t="shared" si="36"/>
        <v>3.096337445</v>
      </c>
      <c r="D40" s="64">
        <f t="shared" si="36"/>
        <v>3.705343357</v>
      </c>
      <c r="E40" s="64">
        <f t="shared" si="36"/>
        <v>3.776508994</v>
      </c>
      <c r="F40" s="64">
        <f t="shared" si="36"/>
        <v>4.389159977</v>
      </c>
      <c r="G40" s="64">
        <f t="shared" si="36"/>
        <v>6.422442459</v>
      </c>
      <c r="H40" s="64">
        <f t="shared" si="36"/>
        <v>6.92398536</v>
      </c>
      <c r="I40" s="64">
        <f t="shared" si="36"/>
        <v>7.535882044</v>
      </c>
      <c r="J40" s="64">
        <f t="shared" si="36"/>
        <v>7.608582704</v>
      </c>
      <c r="K40" s="79">
        <f t="shared" si="36"/>
        <v>7.826701175</v>
      </c>
      <c r="L40" s="57">
        <f t="shared" ref="L40:M40" si="37">0.5*K40</f>
        <v>3.913350587</v>
      </c>
      <c r="M40" s="57">
        <f t="shared" si="37"/>
        <v>1.956675294</v>
      </c>
      <c r="N40" s="78">
        <f t="shared" si="31"/>
        <v>53.91882894</v>
      </c>
      <c r="O40" s="78">
        <f t="shared" si="32"/>
        <v>59.78885483</v>
      </c>
    </row>
    <row r="41">
      <c r="A41" s="1" t="s">
        <v>12</v>
      </c>
      <c r="B41" s="69">
        <f t="shared" ref="B41:M41" si="38">sum(B36:B40)</f>
        <v>5.111885431</v>
      </c>
      <c r="C41" s="69">
        <f t="shared" si="38"/>
        <v>6.426337445</v>
      </c>
      <c r="D41" s="69">
        <f t="shared" si="38"/>
        <v>7.060343357</v>
      </c>
      <c r="E41" s="69">
        <f t="shared" si="38"/>
        <v>8.035508994</v>
      </c>
      <c r="F41" s="69">
        <f t="shared" si="38"/>
        <v>9.040159977</v>
      </c>
      <c r="G41" s="69">
        <f t="shared" si="38"/>
        <v>12.19344246</v>
      </c>
      <c r="H41" s="69">
        <f t="shared" si="38"/>
        <v>11.05198536</v>
      </c>
      <c r="I41" s="69">
        <f t="shared" si="38"/>
        <v>11.74388204</v>
      </c>
      <c r="J41" s="69">
        <f t="shared" si="38"/>
        <v>12.5595827</v>
      </c>
      <c r="K41" s="80">
        <f t="shared" si="38"/>
        <v>12.97470117</v>
      </c>
      <c r="L41" s="69">
        <f t="shared" si="38"/>
        <v>6.487350587</v>
      </c>
      <c r="M41" s="69">
        <f t="shared" si="38"/>
        <v>3.243675294</v>
      </c>
      <c r="N41" s="81">
        <f t="shared" si="31"/>
        <v>96.19782894</v>
      </c>
      <c r="O41" s="78">
        <f t="shared" si="32"/>
        <v>105.9288548</v>
      </c>
    </row>
    <row r="42">
      <c r="A42" s="2" t="s">
        <v>230</v>
      </c>
      <c r="B42" s="74">
        <f>B36*pow(cpuFac, B35 -scaleYear)</f>
        <v>0.5288166</v>
      </c>
      <c r="C42" s="74">
        <f>C36*pow(cpuFac, C35 -scaleYear)</f>
        <v>0.50664042</v>
      </c>
      <c r="D42" s="74">
        <f>D36*pow(cpuFac, D35 -scaleYear)</f>
        <v>0.677055834</v>
      </c>
      <c r="E42" s="74">
        <f>E36*pow(cpuFac, E35 -scaleYear)</f>
        <v>0.8394110595</v>
      </c>
      <c r="F42" s="74">
        <f>F36*pow(cpuFac, F35 -scaleYear)</f>
        <v>0.7778542485</v>
      </c>
      <c r="G42" s="74">
        <f>G36*pow(cpuFac, G35 -scaleYear)</f>
        <v>0.7403605545</v>
      </c>
      <c r="H42" s="74">
        <f>H36*pow(cpuFac, H35 -scaleYear)</f>
        <v>0.666324499</v>
      </c>
      <c r="I42" s="74">
        <f>I36*pow(cpuFac, I35 -scaleYear)</f>
        <v>0.5996920491</v>
      </c>
      <c r="J42" s="74">
        <f>J36*pow(cpuFac, J35 -scaleYear)</f>
        <v>0.5397228442</v>
      </c>
      <c r="K42" s="74">
        <f>K36*pow(cpuFac, K35 -scaleYear)</f>
        <v>0.4857505598</v>
      </c>
      <c r="L42" s="57">
        <f t="shared" ref="L42:M42" si="39">0.5*K42</f>
        <v>0.2428752799</v>
      </c>
      <c r="M42" s="57">
        <f t="shared" si="39"/>
        <v>0.1214376399</v>
      </c>
      <c r="N42" s="78">
        <f t="shared" si="31"/>
        <v>6.361628669</v>
      </c>
      <c r="O42" s="78">
        <f t="shared" si="32"/>
        <v>6.725941588</v>
      </c>
    </row>
    <row r="43">
      <c r="A43" s="2" t="s">
        <v>231</v>
      </c>
      <c r="B43" s="74">
        <f>B37*pow(cpuFac, B35 -scaleYear)</f>
        <v>0.0341172</v>
      </c>
      <c r="C43" s="74">
        <f>C37*pow(cpuFac, C35 -scaleYear)</f>
        <v>0.03070548</v>
      </c>
      <c r="D43" s="74">
        <f>D37*pow(cpuFac, D35 -scaleYear)</f>
        <v>0.041452398</v>
      </c>
      <c r="E43" s="74">
        <f>E37*pow(cpuFac, E35 -scaleYear)</f>
        <v>0.0497428776</v>
      </c>
      <c r="F43" s="74">
        <f>F37*pow(cpuFac, F35 -scaleYear)</f>
        <v>0.04476858984</v>
      </c>
      <c r="G43" s="74">
        <f>G37*pow(cpuFac, G35 -scaleYear)</f>
        <v>0.04532819721</v>
      </c>
      <c r="H43" s="74">
        <f>H37*pow(cpuFac, H35 -scaleYear)</f>
        <v>0.04079537749</v>
      </c>
      <c r="I43" s="74">
        <f>I37*pow(cpuFac, I35 -scaleYear)</f>
        <v>0.03671583974</v>
      </c>
      <c r="J43" s="74">
        <f>J37*pow(cpuFac, J35 -scaleYear)</f>
        <v>0.03304425577</v>
      </c>
      <c r="K43" s="74">
        <f>K37*pow(cpuFac, K35 -scaleYear)</f>
        <v>0.02973983019</v>
      </c>
      <c r="L43" s="57">
        <f t="shared" ref="L43:M43" si="40">0.5*K43</f>
        <v>0.0148699151</v>
      </c>
      <c r="M43" s="57">
        <f t="shared" si="40"/>
        <v>0.007434957548</v>
      </c>
      <c r="N43" s="78">
        <f t="shared" si="31"/>
        <v>0.3864100458</v>
      </c>
      <c r="O43" s="78">
        <f t="shared" si="32"/>
        <v>0.4087149185</v>
      </c>
    </row>
    <row r="44">
      <c r="A44" s="18" t="s">
        <v>232</v>
      </c>
      <c r="B44" s="74">
        <f>B38*pow(cpuFac, B35 -scaleYear)</f>
        <v>0</v>
      </c>
      <c r="C44" s="74">
        <f>C38*pow(cpuFac, C35 -scaleYear)</f>
        <v>0</v>
      </c>
      <c r="D44" s="74">
        <f>D38*pow(cpuFac, D35 -scaleYear)</f>
        <v>0.075996063</v>
      </c>
      <c r="E44" s="74">
        <f>E38*pow(cpuFac, E35 -scaleYear)</f>
        <v>0</v>
      </c>
      <c r="F44" s="74">
        <f>F38*pow(cpuFac, F35 -scaleYear)</f>
        <v>0</v>
      </c>
      <c r="G44" s="74">
        <f>G38*pow(cpuFac, G35 -scaleYear)</f>
        <v>0.05540112993</v>
      </c>
      <c r="H44" s="74">
        <f>H38*pow(cpuFac, H35 -scaleYear)</f>
        <v>0</v>
      </c>
      <c r="I44" s="74">
        <f>I38*pow(cpuFac, I35 -scaleYear)</f>
        <v>0</v>
      </c>
      <c r="J44" s="74">
        <f>J38*pow(cpuFac, J35 -scaleYear)</f>
        <v>0.04038742372</v>
      </c>
      <c r="K44" s="74">
        <f>K38*pow(cpuFac, K35 -scaleYear)</f>
        <v>0</v>
      </c>
      <c r="L44" s="82">
        <f t="shared" ref="L44:M44" si="41">0.5*K44</f>
        <v>0</v>
      </c>
      <c r="M44" s="82">
        <f t="shared" si="41"/>
        <v>0</v>
      </c>
      <c r="N44" s="78">
        <f t="shared" si="31"/>
        <v>0.1717846166</v>
      </c>
      <c r="O44" s="78">
        <f t="shared" si="32"/>
        <v>0.1717846166</v>
      </c>
      <c r="P44" s="21"/>
      <c r="Q44" s="21"/>
      <c r="R44" s="21"/>
      <c r="S44" s="21"/>
      <c r="T44" s="21"/>
      <c r="U44" s="21"/>
      <c r="V44" s="21"/>
      <c r="W44" s="21"/>
      <c r="X44" s="21"/>
      <c r="Y44" s="21"/>
      <c r="Z44" s="21"/>
      <c r="AA44" s="21"/>
      <c r="AB44" s="21"/>
    </row>
    <row r="45">
      <c r="A45" s="2" t="s">
        <v>233</v>
      </c>
      <c r="B45" s="64">
        <f t="shared" ref="B45:M45" si="42">-(B42*0.4)</f>
        <v>-0.21152664</v>
      </c>
      <c r="C45" s="64">
        <f t="shared" si="42"/>
        <v>-0.202656168</v>
      </c>
      <c r="D45" s="64">
        <f t="shared" si="42"/>
        <v>-0.2708223336</v>
      </c>
      <c r="E45" s="64">
        <f t="shared" si="42"/>
        <v>-0.3357644238</v>
      </c>
      <c r="F45" s="64">
        <f t="shared" si="42"/>
        <v>-0.3111416994</v>
      </c>
      <c r="G45" s="64">
        <f t="shared" si="42"/>
        <v>-0.2961442218</v>
      </c>
      <c r="H45" s="64">
        <f t="shared" si="42"/>
        <v>-0.2665297996</v>
      </c>
      <c r="I45" s="64">
        <f t="shared" si="42"/>
        <v>-0.2398768197</v>
      </c>
      <c r="J45" s="64">
        <f t="shared" si="42"/>
        <v>-0.2158891377</v>
      </c>
      <c r="K45" s="64">
        <f t="shared" si="42"/>
        <v>-0.1943002239</v>
      </c>
      <c r="L45" s="64">
        <f t="shared" si="42"/>
        <v>-0.09715011196</v>
      </c>
      <c r="M45" s="64">
        <f t="shared" si="42"/>
        <v>-0.04857505598</v>
      </c>
      <c r="N45" s="78">
        <f t="shared" si="31"/>
        <v>-2.544651467</v>
      </c>
      <c r="O45" s="78">
        <f t="shared" si="32"/>
        <v>-2.690376635</v>
      </c>
    </row>
    <row r="46">
      <c r="A46" s="2" t="s">
        <v>234</v>
      </c>
      <c r="B46" s="74">
        <f t="shared" ref="B46:K46" si="43">-(B$42/4)</f>
        <v>-0.13220415</v>
      </c>
      <c r="C46" s="74">
        <f t="shared" si="43"/>
        <v>-0.126660105</v>
      </c>
      <c r="D46" s="74">
        <f t="shared" si="43"/>
        <v>-0.1692639585</v>
      </c>
      <c r="E46" s="74">
        <f t="shared" si="43"/>
        <v>-0.2098527649</v>
      </c>
      <c r="F46" s="74">
        <f t="shared" si="43"/>
        <v>-0.1944635621</v>
      </c>
      <c r="G46" s="74">
        <f t="shared" si="43"/>
        <v>-0.1850901386</v>
      </c>
      <c r="H46" s="74">
        <f t="shared" si="43"/>
        <v>-0.1665811248</v>
      </c>
      <c r="I46" s="74">
        <f t="shared" si="43"/>
        <v>-0.1499230123</v>
      </c>
      <c r="J46" s="74">
        <f t="shared" si="43"/>
        <v>-0.1349307111</v>
      </c>
      <c r="K46" s="75">
        <f t="shared" si="43"/>
        <v>-0.1214376399</v>
      </c>
      <c r="L46" s="57">
        <f t="shared" ref="L46:M46" si="44">0.5*K46</f>
        <v>-0.06071881997</v>
      </c>
      <c r="M46" s="57">
        <f t="shared" si="44"/>
        <v>-0.03035940999</v>
      </c>
      <c r="N46" s="78">
        <f t="shared" si="31"/>
        <v>-1.590407167</v>
      </c>
      <c r="O46" s="78">
        <f t="shared" si="32"/>
        <v>-1.681485397</v>
      </c>
      <c r="P46" s="57">
        <f>sum(B46:M46)</f>
        <v>-1.681485397</v>
      </c>
    </row>
    <row r="47">
      <c r="A47" s="2" t="s">
        <v>199</v>
      </c>
      <c r="B47" s="74">
        <f>B$39*pow(qservFac, B$35 -scaleYear)</f>
        <v>1.185992508</v>
      </c>
      <c r="C47" s="74">
        <f>C$39*pow(qservFac, C$35 -scaleYear)</f>
        <v>1.638792734</v>
      </c>
      <c r="D47" s="74">
        <f>D$39*pow(qservFac, D$35 -scaleYear)</f>
        <v>1.165100371</v>
      </c>
      <c r="E47" s="74">
        <f>E$39*pow(qservFac, E$35 -scaleYear)</f>
        <v>1.390603669</v>
      </c>
      <c r="F47" s="74">
        <f>F$39*pow(qservFac, F$35 -scaleYear)</f>
        <v>1.468535416</v>
      </c>
      <c r="G47" s="74">
        <f>G$39*pow(qservFac, G$35 -scaleYear)</f>
        <v>1.784752896</v>
      </c>
      <c r="H47" s="74">
        <f>H$39*pow(qservFac, H$35 -scaleYear)</f>
        <v>0.963022917</v>
      </c>
      <c r="I47" s="74">
        <f>I$39*pow(qservFac, I$35 -scaleYear)</f>
        <v>0.9247312915</v>
      </c>
      <c r="J47" s="74">
        <f>J$39*pow(qservFac, J$35 -scaleYear)</f>
        <v>1.090801154</v>
      </c>
      <c r="K47" s="75">
        <f>K$39*pow(qservFac, K$35 -scaleYear)</f>
        <v>1.132392853</v>
      </c>
      <c r="L47" s="57">
        <f t="shared" ref="L47:M47" si="45">0.5*K47</f>
        <v>0.5661964264</v>
      </c>
      <c r="M47" s="57">
        <f t="shared" si="45"/>
        <v>0.2830982132</v>
      </c>
      <c r="N47" s="78">
        <f t="shared" si="31"/>
        <v>12.74472581</v>
      </c>
      <c r="O47" s="78">
        <f t="shared" si="32"/>
        <v>13.59402045</v>
      </c>
    </row>
    <row r="48">
      <c r="A48" s="2" t="s">
        <v>200</v>
      </c>
      <c r="B48" s="74">
        <f>B$40*pow(diskFac, B$35 -scaleYear)</f>
        <v>2.145316145</v>
      </c>
      <c r="C48" s="74">
        <f>C$40*pow(diskFac, C$35 -scaleYear)</f>
        <v>2.395886891</v>
      </c>
      <c r="D48" s="74">
        <f>D$40*pow(diskFac, D$35 -scaleYear)</f>
        <v>2.723767854</v>
      </c>
      <c r="E48" s="74">
        <f>E$40*pow(diskFac, E$35 -scaleYear)</f>
        <v>2.63727708</v>
      </c>
      <c r="F48" s="74">
        <f>F$40*pow(diskFac, F$35 -scaleYear)</f>
        <v>2.911858405</v>
      </c>
      <c r="G48" s="74">
        <f>G$40*pow(diskFac, G$35 -scaleYear)</f>
        <v>4.047740568</v>
      </c>
      <c r="H48" s="74">
        <f>H$40*pow(diskFac, H$35 -scaleYear)</f>
        <v>4.145645802</v>
      </c>
      <c r="I48" s="74">
        <f>I$40*pow(diskFac, I$35 -scaleYear)</f>
        <v>4.286410402</v>
      </c>
      <c r="J48" s="74">
        <f>J$40*pow(diskFac, J$35 -scaleYear)</f>
        <v>4.111374417</v>
      </c>
      <c r="K48" s="75">
        <f>K$40*pow(diskFac, K$35 -scaleYear)</f>
        <v>4.017775086</v>
      </c>
      <c r="L48" s="57">
        <f t="shared" ref="L48:M48" si="46">0.5*K48</f>
        <v>2.008887543</v>
      </c>
      <c r="M48" s="57">
        <f t="shared" si="46"/>
        <v>1.004443772</v>
      </c>
      <c r="N48" s="78">
        <f t="shared" si="31"/>
        <v>33.42305265</v>
      </c>
      <c r="O48" s="78">
        <f t="shared" si="32"/>
        <v>36.43638396</v>
      </c>
    </row>
    <row r="49" ht="16.5" customHeight="1">
      <c r="A49" s="2" t="s">
        <v>235</v>
      </c>
      <c r="B49" s="83">
        <f t="shared" ref="B49:M49" si="47">0.14*sum(B42:B48)+0.15</f>
        <v>0.6470716328</v>
      </c>
      <c r="C49" s="83">
        <f t="shared" si="47"/>
        <v>0.7439792953</v>
      </c>
      <c r="D49" s="83">
        <f t="shared" si="47"/>
        <v>0.7440600719</v>
      </c>
      <c r="E49" s="83">
        <f t="shared" si="47"/>
        <v>0.7619984496</v>
      </c>
      <c r="F49" s="83">
        <f t="shared" si="47"/>
        <v>0.8076375957</v>
      </c>
      <c r="G49" s="83">
        <f t="shared" si="47"/>
        <v>1.016928858</v>
      </c>
      <c r="H49" s="83">
        <f t="shared" si="47"/>
        <v>0.9035748739</v>
      </c>
      <c r="I49" s="83">
        <f t="shared" si="47"/>
        <v>0.9140849651</v>
      </c>
      <c r="J49" s="83">
        <f t="shared" si="47"/>
        <v>0.9150314344</v>
      </c>
      <c r="K49" s="83">
        <f t="shared" si="47"/>
        <v>0.8989888651</v>
      </c>
      <c r="L49" s="83">
        <f t="shared" si="47"/>
        <v>0.5244944326</v>
      </c>
      <c r="M49" s="83">
        <f t="shared" si="47"/>
        <v>0.3372472163</v>
      </c>
      <c r="N49" s="78">
        <f t="shared" si="31"/>
        <v>8.353356042</v>
      </c>
      <c r="O49" s="78">
        <f t="shared" si="32"/>
        <v>9.215097691</v>
      </c>
    </row>
    <row r="50">
      <c r="A50" s="1" t="s">
        <v>26</v>
      </c>
      <c r="B50" s="69">
        <f t="shared" ref="B50:O50" si="48">sum(B42:B49)</f>
        <v>4.197583296</v>
      </c>
      <c r="C50" s="69">
        <f t="shared" si="48"/>
        <v>4.986688547</v>
      </c>
      <c r="D50" s="69">
        <f t="shared" si="48"/>
        <v>4.9873463</v>
      </c>
      <c r="E50" s="69">
        <f t="shared" si="48"/>
        <v>5.133415947</v>
      </c>
      <c r="F50" s="69">
        <f t="shared" si="48"/>
        <v>5.505048993</v>
      </c>
      <c r="G50" s="69">
        <f t="shared" si="48"/>
        <v>7.209277844</v>
      </c>
      <c r="H50" s="69">
        <f t="shared" si="48"/>
        <v>6.286252545</v>
      </c>
      <c r="I50" s="69">
        <f t="shared" si="48"/>
        <v>6.371834716</v>
      </c>
      <c r="J50" s="69">
        <f t="shared" si="48"/>
        <v>6.37954168</v>
      </c>
      <c r="K50" s="80">
        <f t="shared" si="48"/>
        <v>6.24890933</v>
      </c>
      <c r="L50" s="69">
        <f t="shared" si="48"/>
        <v>3.199454665</v>
      </c>
      <c r="M50" s="69">
        <f t="shared" si="48"/>
        <v>1.674727333</v>
      </c>
      <c r="N50" s="69">
        <f t="shared" si="48"/>
        <v>57.3058992</v>
      </c>
      <c r="O50" s="69">
        <f t="shared" si="48"/>
        <v>62.1800812</v>
      </c>
    </row>
    <row r="51">
      <c r="A51" s="1" t="str">
        <f>concat("Total Operations hardware to ", $K$3)</f>
        <v>Total Operations hardware to 2033</v>
      </c>
      <c r="B51" s="69">
        <f>sum(B50:K50)</f>
        <v>57.3058992</v>
      </c>
      <c r="C51" s="1" t="s">
        <v>202</v>
      </c>
      <c r="D51" s="1" t="str">
        <f>concat("to ",$M$3)</f>
        <v>to 2035</v>
      </c>
      <c r="E51" s="69">
        <f>sum(B50:M50)</f>
        <v>62.1800812</v>
      </c>
      <c r="G51" s="2"/>
      <c r="K51" s="66"/>
    </row>
    <row r="52">
      <c r="A52" s="67" t="s">
        <v>236</v>
      </c>
      <c r="B52" s="84">
        <f t="shared" ref="B52:M52" si="49">B50*1000000</f>
        <v>4197583.296</v>
      </c>
      <c r="C52" s="84">
        <f t="shared" si="49"/>
        <v>4986688.547</v>
      </c>
      <c r="D52" s="84">
        <f t="shared" si="49"/>
        <v>4987346.3</v>
      </c>
      <c r="E52" s="84">
        <f t="shared" si="49"/>
        <v>5133415.947</v>
      </c>
      <c r="F52" s="84">
        <f t="shared" si="49"/>
        <v>5505048.993</v>
      </c>
      <c r="G52" s="84">
        <f t="shared" si="49"/>
        <v>7209277.844</v>
      </c>
      <c r="H52" s="84">
        <f t="shared" si="49"/>
        <v>6286252.545</v>
      </c>
      <c r="I52" s="84">
        <f t="shared" si="49"/>
        <v>6371834.716</v>
      </c>
      <c r="J52" s="84">
        <f t="shared" si="49"/>
        <v>6379541.68</v>
      </c>
      <c r="K52" s="84">
        <f t="shared" si="49"/>
        <v>6248909.33</v>
      </c>
      <c r="L52" s="84">
        <f t="shared" si="49"/>
        <v>3199454.665</v>
      </c>
      <c r="M52" s="84">
        <f t="shared" si="49"/>
        <v>1674727.333</v>
      </c>
    </row>
    <row r="53">
      <c r="A53" s="4"/>
      <c r="B53" s="5"/>
      <c r="C53" s="5"/>
      <c r="D53" s="5"/>
      <c r="E53" s="1"/>
      <c r="F53" s="1"/>
      <c r="G53" s="1"/>
      <c r="H53" s="1"/>
      <c r="I53" s="1"/>
      <c r="J53" s="1"/>
      <c r="K53" s="85"/>
    </row>
    <row r="54">
      <c r="A54" s="67" t="s">
        <v>237</v>
      </c>
      <c r="B54" s="19" t="s">
        <v>238</v>
      </c>
      <c r="C54" s="5">
        <v>11.0</v>
      </c>
      <c r="D54" s="2">
        <v>0.0</v>
      </c>
      <c r="E54" s="1"/>
      <c r="F54" s="1"/>
      <c r="G54" s="1"/>
      <c r="H54" s="1"/>
      <c r="I54" s="1"/>
      <c r="J54" s="1"/>
      <c r="K54" s="85"/>
    </row>
    <row r="55">
      <c r="A55" s="4" t="s">
        <v>3</v>
      </c>
      <c r="B55" s="5">
        <f t="shared" ref="B55:K55" si="50">B3</f>
        <v>2024</v>
      </c>
      <c r="C55" s="5">
        <f t="shared" si="50"/>
        <v>2025</v>
      </c>
      <c r="D55" s="5">
        <f t="shared" si="50"/>
        <v>2026</v>
      </c>
      <c r="E55" s="5">
        <f t="shared" si="50"/>
        <v>2027</v>
      </c>
      <c r="F55" s="5">
        <f t="shared" si="50"/>
        <v>2028</v>
      </c>
      <c r="G55" s="5">
        <f t="shared" si="50"/>
        <v>2029</v>
      </c>
      <c r="H55" s="5">
        <f t="shared" si="50"/>
        <v>2030</v>
      </c>
      <c r="I55" s="5">
        <f t="shared" si="50"/>
        <v>2031</v>
      </c>
      <c r="J55" s="5">
        <f t="shared" si="50"/>
        <v>2032</v>
      </c>
      <c r="K55" s="68">
        <f t="shared" si="50"/>
        <v>2033</v>
      </c>
    </row>
    <row r="56">
      <c r="A56" s="18" t="s">
        <v>80</v>
      </c>
      <c r="B56" s="86">
        <f>'Ops Compute'!C4</f>
        <v>45264684.43</v>
      </c>
      <c r="C56" s="86">
        <f>'Ops Compute'!D4</f>
        <v>81716013.55</v>
      </c>
      <c r="D56" s="86">
        <f>'Ops Compute'!E4</f>
        <v>122574020.3</v>
      </c>
      <c r="E56" s="86">
        <f>'Ops Compute'!F4</f>
        <v>163432027.1</v>
      </c>
      <c r="F56" s="86">
        <f>'Ops Compute'!G4</f>
        <v>204290033.9</v>
      </c>
      <c r="G56" s="86">
        <f>'Ops Compute'!H4</f>
        <v>245148040.6</v>
      </c>
      <c r="H56" s="86">
        <f>'Ops Compute'!I4</f>
        <v>286006047.4</v>
      </c>
      <c r="I56" s="86">
        <f>'Ops Compute'!J4</f>
        <v>326864054.2</v>
      </c>
      <c r="J56" s="86">
        <f>'Ops Compute'!K4</f>
        <v>367722061</v>
      </c>
      <c r="K56" s="87">
        <f>'Ops Compute'!L4</f>
        <v>408580067.7</v>
      </c>
    </row>
    <row r="57">
      <c r="A57" s="18" t="s">
        <v>239</v>
      </c>
      <c r="B57" s="22">
        <f>Model!F47</f>
        <v>34048338.98</v>
      </c>
      <c r="C57" s="86">
        <f t="shared" ref="C57:K57" si="51">C56-B56</f>
        <v>36451329.12</v>
      </c>
      <c r="D57" s="86">
        <f t="shared" si="51"/>
        <v>40858006.77</v>
      </c>
      <c r="E57" s="86">
        <f t="shared" si="51"/>
        <v>40858006.77</v>
      </c>
      <c r="F57" s="86">
        <f t="shared" si="51"/>
        <v>40858006.77</v>
      </c>
      <c r="G57" s="86">
        <f t="shared" si="51"/>
        <v>40858006.77</v>
      </c>
      <c r="H57" s="86">
        <f t="shared" si="51"/>
        <v>40858006.77</v>
      </c>
      <c r="I57" s="86">
        <f t="shared" si="51"/>
        <v>40858006.77</v>
      </c>
      <c r="J57" s="86">
        <f t="shared" si="51"/>
        <v>40858006.77</v>
      </c>
      <c r="K57" s="87">
        <f t="shared" si="51"/>
        <v>40858006.77</v>
      </c>
    </row>
    <row r="58">
      <c r="A58" s="21" t="s">
        <v>82</v>
      </c>
      <c r="B58" s="27">
        <v>200.0</v>
      </c>
      <c r="C58" s="27">
        <v>200.0</v>
      </c>
      <c r="D58" s="27">
        <v>200.0</v>
      </c>
      <c r="E58" s="27">
        <v>200.0</v>
      </c>
      <c r="F58" s="27">
        <v>200.0</v>
      </c>
      <c r="G58" s="27">
        <v>200.0</v>
      </c>
      <c r="H58" s="27">
        <v>200.0</v>
      </c>
      <c r="I58" s="27">
        <v>200.0</v>
      </c>
      <c r="J58" s="27">
        <v>200.0</v>
      </c>
      <c r="K58" s="88">
        <v>200.0</v>
      </c>
    </row>
    <row r="59">
      <c r="A59" s="18" t="s">
        <v>83</v>
      </c>
      <c r="B59" s="27">
        <f t="shared" ref="B59:K59" si="52">B58*24</f>
        <v>4800</v>
      </c>
      <c r="C59" s="27">
        <f t="shared" si="52"/>
        <v>4800</v>
      </c>
      <c r="D59" s="27">
        <f t="shared" si="52"/>
        <v>4800</v>
      </c>
      <c r="E59" s="27">
        <f t="shared" si="52"/>
        <v>4800</v>
      </c>
      <c r="F59" s="27">
        <f t="shared" si="52"/>
        <v>4800</v>
      </c>
      <c r="G59" s="27">
        <f t="shared" si="52"/>
        <v>4800</v>
      </c>
      <c r="H59" s="27">
        <f t="shared" si="52"/>
        <v>4800</v>
      </c>
      <c r="I59" s="27">
        <f t="shared" si="52"/>
        <v>4800</v>
      </c>
      <c r="J59" s="27">
        <f t="shared" si="52"/>
        <v>4800</v>
      </c>
      <c r="K59" s="88">
        <f t="shared" si="52"/>
        <v>4800</v>
      </c>
    </row>
    <row r="60">
      <c r="A60" s="18" t="s">
        <v>240</v>
      </c>
      <c r="B60" s="27">
        <f t="shared" ref="B60:K60" si="53">B57/B59</f>
        <v>7093.403954</v>
      </c>
      <c r="C60" s="27">
        <f t="shared" si="53"/>
        <v>7594.026899</v>
      </c>
      <c r="D60" s="27">
        <f t="shared" si="53"/>
        <v>8512.084744</v>
      </c>
      <c r="E60" s="27">
        <f t="shared" si="53"/>
        <v>8512.084744</v>
      </c>
      <c r="F60" s="27">
        <f t="shared" si="53"/>
        <v>8512.084744</v>
      </c>
      <c r="G60" s="27">
        <f t="shared" si="53"/>
        <v>8512.084744</v>
      </c>
      <c r="H60" s="27">
        <f t="shared" si="53"/>
        <v>8512.084744</v>
      </c>
      <c r="I60" s="27">
        <f t="shared" si="53"/>
        <v>8512.084744</v>
      </c>
      <c r="J60" s="27">
        <f t="shared" si="53"/>
        <v>8512.084744</v>
      </c>
      <c r="K60" s="88">
        <f t="shared" si="53"/>
        <v>8512.084744</v>
      </c>
      <c r="M60" s="89"/>
      <c r="N60" s="89"/>
      <c r="O60" s="89"/>
      <c r="P60" s="89"/>
      <c r="Q60" s="89"/>
      <c r="R60" s="89"/>
      <c r="S60" s="89"/>
      <c r="T60" s="89"/>
      <c r="U60" s="89"/>
      <c r="V60" s="89"/>
    </row>
    <row r="61">
      <c r="A61" s="18" t="s">
        <v>241</v>
      </c>
      <c r="B61" s="27" t="str">
        <f t="array" ref="B61">if(column()&lt;=computeLifetime, "", if(column()=computeLifetime+1, Model!$E$51, index($B60:$K60,1,column()-computeLifetime-1)))</f>
        <v/>
      </c>
      <c r="C61" s="27" t="str">
        <f t="array" ref="C61">if(column()&lt;=computeLifetime, "", if(column()=computeLifetime+1, Model!$E$51, index($B60:$K60,1,column()-computeLifetime-1)))</f>
        <v/>
      </c>
      <c r="D61" s="27">
        <f t="array" ref="D61">if(column()&lt;=computeLifetime, "", if(column()=computeLifetime+1, Model!$E$51, index($B60:$K60,1,column()-computeLifetime-1)))</f>
        <v>2837.361581</v>
      </c>
      <c r="E61" s="27">
        <f t="array" ref="E61">if(column()&lt;=computeLifetime, "", if(column()=computeLifetime+1, Model!$E$51, index($B60:$K60,1,column()-computeLifetime-1)))</f>
        <v>7093.403954</v>
      </c>
      <c r="F61" s="27">
        <f t="array" ref="F61">if(column()&lt;=computeLifetime, "", if(column()=computeLifetime+1, Model!$E$51, index($B60:$K60,1,column()-computeLifetime-1)))</f>
        <v>7594.026899</v>
      </c>
      <c r="G61" s="27">
        <f t="array" ref="G61">if(column()&lt;=computeLifetime, "", if(column()=computeLifetime+1, Model!$E$51, index($B60:$K60,1,column()-computeLifetime-1)))</f>
        <v>8512.084744</v>
      </c>
      <c r="H61" s="27">
        <f t="array" ref="H61">if(column()&lt;=computeLifetime, "", if(column()=computeLifetime+1, Model!$E$51, index($B60:$K60,1,column()-computeLifetime-1)))</f>
        <v>8512.084744</v>
      </c>
      <c r="I61" s="27">
        <f t="array" ref="I61">if(column()&lt;=computeLifetime, "", if(column()=computeLifetime+1, Model!$E$51, index($B60:$K60,1,column()-computeLifetime-1)))</f>
        <v>8512.084744</v>
      </c>
      <c r="J61" s="27">
        <f t="array" ref="J61">if(column()&lt;=computeLifetime, "", if(column()=computeLifetime+1, Model!$E$51, index($B60:$K60,1,column()-computeLifetime-1)))</f>
        <v>8512.084744</v>
      </c>
      <c r="K61" s="88">
        <f t="array" ref="K61">if(column()&lt;=computeLifetime, "", if(column()=computeLifetime+1, Model!$E$51, index($B60:$K60,1,column()-computeLifetime-1)))</f>
        <v>8512.084744</v>
      </c>
    </row>
    <row r="62">
      <c r="A62" s="18" t="s">
        <v>242</v>
      </c>
      <c r="B62" s="27">
        <f t="shared" ref="B62:K62" si="54">B60+B61</f>
        <v>7093.403954</v>
      </c>
      <c r="C62" s="27">
        <f t="shared" si="54"/>
        <v>7594.026899</v>
      </c>
      <c r="D62" s="27">
        <f t="shared" si="54"/>
        <v>11349.44633</v>
      </c>
      <c r="E62" s="27">
        <f t="shared" si="54"/>
        <v>15605.4887</v>
      </c>
      <c r="F62" s="27">
        <f t="shared" si="54"/>
        <v>16106.11164</v>
      </c>
      <c r="G62" s="27">
        <f t="shared" si="54"/>
        <v>17024.16949</v>
      </c>
      <c r="H62" s="27">
        <f t="shared" si="54"/>
        <v>17024.16949</v>
      </c>
      <c r="I62" s="27">
        <f t="shared" si="54"/>
        <v>17024.16949</v>
      </c>
      <c r="J62" s="27">
        <f t="shared" si="54"/>
        <v>17024.16949</v>
      </c>
      <c r="K62" s="88">
        <f t="shared" si="54"/>
        <v>17024.16949</v>
      </c>
    </row>
    <row r="63">
      <c r="A63" s="18" t="s">
        <v>243</v>
      </c>
      <c r="B63" s="27">
        <f>'Ops Compute'!C7</f>
        <v>1188.409091</v>
      </c>
      <c r="C63" s="27">
        <f>'Ops Compute'!D7</f>
        <v>1188.409091</v>
      </c>
      <c r="D63" s="27">
        <f>'Ops Compute'!E7</f>
        <v>1188.409091</v>
      </c>
      <c r="E63" s="27">
        <f>'Ops Compute'!F7</f>
        <v>1188.409091</v>
      </c>
      <c r="F63" s="27">
        <f>'Ops Compute'!G7</f>
        <v>1188.409091</v>
      </c>
      <c r="G63" s="27">
        <f>'Ops Compute'!H7</f>
        <v>1188.409091</v>
      </c>
      <c r="H63" s="27">
        <f>'Ops Compute'!I7</f>
        <v>1188.409091</v>
      </c>
      <c r="I63" s="27">
        <f>'Ops Compute'!J7</f>
        <v>1188.409091</v>
      </c>
      <c r="J63" s="27">
        <f>'Ops Compute'!K7</f>
        <v>1188.409091</v>
      </c>
      <c r="K63" s="88">
        <f>'Ops Compute'!L7</f>
        <v>1188.409091</v>
      </c>
    </row>
    <row r="64">
      <c r="A64" s="18" t="s">
        <v>244</v>
      </c>
      <c r="B64" s="27" t="str">
        <f>if(column()&lt;=computeLifetime, "", if(mod(column(), computeLifetime)=1, B63,""))</f>
        <v/>
      </c>
      <c r="C64" s="27" t="str">
        <f>if(column()&lt;=computeLifetime, "", if(mod(column(), computeLifetime)=1, C63,""))</f>
        <v/>
      </c>
      <c r="D64" s="27">
        <f>if(column()&lt;=computeLifetime, "", if(mod(column(), computeLifetime)=1, D63,""))</f>
        <v>1188.409091</v>
      </c>
      <c r="E64" s="27" t="str">
        <f>if(column()&lt;=computeLifetime, "", if(mod(column(), computeLifetime)=1, E63,""))</f>
        <v/>
      </c>
      <c r="F64" s="27" t="str">
        <f>if(column()&lt;=computeLifetime, "", if(mod(column(), computeLifetime)=1, F63,""))</f>
        <v/>
      </c>
      <c r="G64" s="27">
        <f>if(column()&lt;=computeLifetime, "", if(mod(column(), computeLifetime)=1, G63,""))</f>
        <v>1188.409091</v>
      </c>
      <c r="H64" s="27" t="str">
        <f>if(column()&lt;=computeLifetime, "", if(mod(column(), computeLifetime)=1, H63,""))</f>
        <v/>
      </c>
      <c r="I64" s="27" t="str">
        <f>if(column()&lt;=computeLifetime, "", if(mod(column(), computeLifetime)=1, I63,""))</f>
        <v/>
      </c>
      <c r="J64" s="27">
        <f>if(column()&lt;=computeLifetime, "", if(mod(column(), computeLifetime)=1, J63,""))</f>
        <v>1188.409091</v>
      </c>
      <c r="K64" s="88" t="str">
        <f>if(column()&lt;=computeLifetime, "", if(mod(column(), computeLifetime)=1, K63,""))</f>
        <v/>
      </c>
    </row>
    <row r="65">
      <c r="A65" s="18" t="s">
        <v>245</v>
      </c>
      <c r="B65" s="27">
        <f>Model!F54</f>
        <v>568.3921561</v>
      </c>
      <c r="C65" s="32">
        <f>'Ops Compute'!D10</f>
        <v>932.8312049</v>
      </c>
      <c r="D65" s="32">
        <f>'Ops Compute'!E10</f>
        <v>1399.246807</v>
      </c>
      <c r="E65" s="32">
        <f>'Ops Compute'!F10</f>
        <v>1865.66241</v>
      </c>
      <c r="F65" s="32">
        <f>'Ops Compute'!G10</f>
        <v>2332.078012</v>
      </c>
      <c r="G65" s="32">
        <f>'Ops Compute'!H10</f>
        <v>2798.493615</v>
      </c>
      <c r="H65" s="32">
        <f>'Ops Compute'!I10</f>
        <v>3264.909217</v>
      </c>
      <c r="I65" s="32">
        <f>'Ops Compute'!J10</f>
        <v>3731.324819</v>
      </c>
      <c r="J65" s="32">
        <f>'Ops Compute'!K10</f>
        <v>4197.740422</v>
      </c>
      <c r="K65" s="90">
        <f>'Ops Compute'!L10</f>
        <v>4664.156024</v>
      </c>
    </row>
    <row r="66">
      <c r="A66" s="18" t="s">
        <v>90</v>
      </c>
      <c r="B66" s="27">
        <f>Model!F55</f>
        <v>427.5476356</v>
      </c>
      <c r="C66" s="32">
        <f t="shared" ref="C66:K66" si="55">C65-B65</f>
        <v>364.4390488</v>
      </c>
      <c r="D66" s="32">
        <f t="shared" si="55"/>
        <v>466.4156024</v>
      </c>
      <c r="E66" s="32">
        <f t="shared" si="55"/>
        <v>466.4156024</v>
      </c>
      <c r="F66" s="32">
        <f t="shared" si="55"/>
        <v>466.4156024</v>
      </c>
      <c r="G66" s="32">
        <f t="shared" si="55"/>
        <v>466.4156024</v>
      </c>
      <c r="H66" s="32">
        <f t="shared" si="55"/>
        <v>466.4156024</v>
      </c>
      <c r="I66" s="32">
        <f t="shared" si="55"/>
        <v>466.4156024</v>
      </c>
      <c r="J66" s="32">
        <f t="shared" si="55"/>
        <v>466.4156024</v>
      </c>
      <c r="K66" s="90">
        <f t="shared" si="55"/>
        <v>466.4156024</v>
      </c>
      <c r="M66" s="91"/>
      <c r="N66" s="91"/>
      <c r="O66" s="91"/>
      <c r="P66" s="91"/>
      <c r="Q66" s="91"/>
      <c r="R66" s="91"/>
      <c r="S66" s="91"/>
      <c r="T66" s="91"/>
      <c r="U66" s="91"/>
      <c r="V66" s="91"/>
    </row>
    <row r="67">
      <c r="A67" s="18" t="s">
        <v>246</v>
      </c>
      <c r="B67" s="27" t="str">
        <f t="array" ref="B67">if(column()&lt;=computeLifetime, "", if(column()=computeLifetime+1, Model!$E$54, index($B66:$K66,1,column()-computeLifetime-1)))</f>
        <v/>
      </c>
      <c r="C67" s="27" t="str">
        <f t="array" ref="C67">if(column()&lt;=computeLifetime, "", if(column()=computeLifetime+1, Model!$E$54, index($B66:$K66,1,column()-computeLifetime-1)))</f>
        <v/>
      </c>
      <c r="D67" s="27">
        <f t="array" ref="D67">if(column()&lt;=computeLifetime, "", if(column()=computeLifetime+1, Model!$E$54, index($B66:$K66,1,column()-computeLifetime-1)))</f>
        <v>140.8445205</v>
      </c>
      <c r="E67" s="27">
        <f t="array" ref="E67">if(column()&lt;=computeLifetime, "", if(column()=computeLifetime+1, Model!$E$54, index($B66:$K66,1,column()-computeLifetime-1)))</f>
        <v>427.5476356</v>
      </c>
      <c r="F67" s="27">
        <f t="array" ref="F67">if(column()&lt;=computeLifetime, "", if(column()=computeLifetime+1, Model!$E$54, index($B66:$K66,1,column()-computeLifetime-1)))</f>
        <v>364.4390488</v>
      </c>
      <c r="G67" s="27">
        <f t="array" ref="G67">if(column()&lt;=computeLifetime, "", if(column()=computeLifetime+1, Model!$E$54, index($B66:$K66,1,column()-computeLifetime-1)))</f>
        <v>466.4156024</v>
      </c>
      <c r="H67" s="27">
        <f t="array" ref="H67">if(column()&lt;=computeLifetime, "", if(column()=computeLifetime+1, Model!$E$54, index($B66:$K66,1,column()-computeLifetime-1)))</f>
        <v>466.4156024</v>
      </c>
      <c r="I67" s="27">
        <f t="array" ref="I67">if(column()&lt;=computeLifetime, "", if(column()=computeLifetime+1, Model!$E$54, index($B66:$K66,1,column()-computeLifetime-1)))</f>
        <v>466.4156024</v>
      </c>
      <c r="J67" s="27">
        <f t="array" ref="J67">if(column()&lt;=computeLifetime, "", if(column()=computeLifetime+1, Model!$E$54, index($B66:$K66,1,column()-computeLifetime-1)))</f>
        <v>466.4156024</v>
      </c>
      <c r="K67" s="88">
        <f t="array" ref="K67">if(column()&lt;=computeLifetime, "", if(column()=computeLifetime+1, Model!$E$54, index($B66:$K66,1,column()-computeLifetime-1)))</f>
        <v>466.4156024</v>
      </c>
    </row>
    <row r="68">
      <c r="A68" s="18" t="s">
        <v>247</v>
      </c>
      <c r="B68" s="27">
        <f t="shared" ref="B68:K68" si="56">B66+B67</f>
        <v>427.5476356</v>
      </c>
      <c r="C68" s="27">
        <f t="shared" si="56"/>
        <v>364.4390488</v>
      </c>
      <c r="D68" s="27">
        <f t="shared" si="56"/>
        <v>607.260123</v>
      </c>
      <c r="E68" s="27">
        <f t="shared" si="56"/>
        <v>893.963238</v>
      </c>
      <c r="F68" s="27">
        <f t="shared" si="56"/>
        <v>830.8546512</v>
      </c>
      <c r="G68" s="27">
        <f t="shared" si="56"/>
        <v>932.8312049</v>
      </c>
      <c r="H68" s="27">
        <f t="shared" si="56"/>
        <v>932.8312049</v>
      </c>
      <c r="I68" s="27">
        <f t="shared" si="56"/>
        <v>932.8312049</v>
      </c>
      <c r="J68" s="27">
        <f t="shared" si="56"/>
        <v>932.8312049</v>
      </c>
      <c r="K68" s="88">
        <f t="shared" si="56"/>
        <v>932.8312049</v>
      </c>
    </row>
    <row r="69">
      <c r="A69" s="18" t="s">
        <v>248</v>
      </c>
      <c r="B69" s="32">
        <f>'Ops Compute'!C16</f>
        <v>103.3440284</v>
      </c>
      <c r="C69" s="32">
        <f>'Ops Compute'!D16</f>
        <v>186.566241</v>
      </c>
      <c r="D69" s="32">
        <f>'Ops Compute'!E16</f>
        <v>279.8493615</v>
      </c>
      <c r="E69" s="32">
        <f>'Ops Compute'!F16</f>
        <v>373.1324819</v>
      </c>
      <c r="F69" s="32">
        <f>'Ops Compute'!G16</f>
        <v>466.4156024</v>
      </c>
      <c r="G69" s="32">
        <f>'Ops Compute'!H16</f>
        <v>559.6987229</v>
      </c>
      <c r="H69" s="32">
        <f>'Ops Compute'!I16</f>
        <v>652.9818434</v>
      </c>
      <c r="I69" s="32">
        <f>'Ops Compute'!J16</f>
        <v>746.2649639</v>
      </c>
      <c r="J69" s="32">
        <f>'Ops Compute'!K16</f>
        <v>839.5480844</v>
      </c>
      <c r="K69" s="90">
        <f>'Ops Compute'!L16</f>
        <v>932.8312049</v>
      </c>
    </row>
    <row r="70">
      <c r="A70" s="18" t="s">
        <v>93</v>
      </c>
      <c r="B70" s="27">
        <f>Model!F57</f>
        <v>103.3440284</v>
      </c>
      <c r="C70" s="32">
        <f t="shared" ref="C70:K70" si="57">C69-B69</f>
        <v>83.22221259</v>
      </c>
      <c r="D70" s="32">
        <f t="shared" si="57"/>
        <v>93.28312049</v>
      </c>
      <c r="E70" s="32">
        <f t="shared" si="57"/>
        <v>93.28312049</v>
      </c>
      <c r="F70" s="32">
        <f t="shared" si="57"/>
        <v>93.28312049</v>
      </c>
      <c r="G70" s="32">
        <f t="shared" si="57"/>
        <v>93.28312049</v>
      </c>
      <c r="H70" s="32">
        <f t="shared" si="57"/>
        <v>93.28312049</v>
      </c>
      <c r="I70" s="32">
        <f t="shared" si="57"/>
        <v>93.28312049</v>
      </c>
      <c r="J70" s="32">
        <f t="shared" si="57"/>
        <v>93.28312049</v>
      </c>
      <c r="K70" s="90">
        <f t="shared" si="57"/>
        <v>93.28312049</v>
      </c>
    </row>
    <row r="71">
      <c r="A71" s="2" t="s">
        <v>249</v>
      </c>
      <c r="B71" s="27" t="str">
        <f t="array" ref="B71">if(column()&lt;=computeLifetime, "", if(column()=computeLifetime+1, Model!$E$57, index($B70:$K70,1,column()-computeLifetime-1)))</f>
        <v/>
      </c>
      <c r="C71" s="27" t="str">
        <f t="array" ref="C71">if(column()&lt;=computeLifetime, "", if(column()=computeLifetime+1, Model!$E$57, index($B70:$K70,1,column()-computeLifetime-1)))</f>
        <v/>
      </c>
      <c r="D71" s="27">
        <f t="array" ref="D71">if(column()&lt;=computeLifetime, "", if(column()=computeLifetime+1, Model!$E$57, index($B70:$K70,1,column()-computeLifetime-1)))</f>
        <v>0</v>
      </c>
      <c r="E71" s="27">
        <f t="array" ref="E71">if(column()&lt;=computeLifetime, "", if(column()=computeLifetime+1, Model!$E$57, index($B70:$K70,1,column()-computeLifetime-1)))</f>
        <v>103.3440284</v>
      </c>
      <c r="F71" s="27">
        <f t="array" ref="F71">if(column()&lt;=computeLifetime, "", if(column()=computeLifetime+1, Model!$E$57, index($B70:$K70,1,column()-computeLifetime-1)))</f>
        <v>83.22221259</v>
      </c>
      <c r="G71" s="27">
        <f t="array" ref="G71">if(column()&lt;=computeLifetime, "", if(column()=computeLifetime+1, Model!$E$57, index($B70:$K70,1,column()-computeLifetime-1)))</f>
        <v>93.28312049</v>
      </c>
      <c r="H71" s="27">
        <f t="array" ref="H71">if(column()&lt;=computeLifetime, "", if(column()=computeLifetime+1, Model!$E$57, index($B70:$K70,1,column()-computeLifetime-1)))</f>
        <v>93.28312049</v>
      </c>
      <c r="I71" s="27">
        <f t="array" ref="I71">if(column()&lt;=computeLifetime, "", if(column()=computeLifetime+1, Model!$E$57, index($B70:$K70,1,column()-computeLifetime-1)))</f>
        <v>93.28312049</v>
      </c>
      <c r="J71" s="27">
        <f t="array" ref="J71">if(column()&lt;=computeLifetime, "", if(column()=computeLifetime+1, Model!$E$57, index($B70:$K70,1,column()-computeLifetime-1)))</f>
        <v>93.28312049</v>
      </c>
      <c r="K71" s="88">
        <f t="array" ref="K71">if(column()&lt;=computeLifetime, "", if(column()=computeLifetime+1, Model!$E$57, index($B70:$K70,1,column()-computeLifetime-1)))</f>
        <v>93.28312049</v>
      </c>
    </row>
    <row r="72">
      <c r="A72" s="2" t="s">
        <v>250</v>
      </c>
      <c r="B72" s="27">
        <f t="shared" ref="B72:K72" si="58">B70+B71</f>
        <v>103.3440284</v>
      </c>
      <c r="C72" s="27">
        <f t="shared" si="58"/>
        <v>83.22221259</v>
      </c>
      <c r="D72" s="27">
        <f t="shared" si="58"/>
        <v>93.28312049</v>
      </c>
      <c r="E72" s="27">
        <f t="shared" si="58"/>
        <v>196.6271489</v>
      </c>
      <c r="F72" s="27">
        <f t="shared" si="58"/>
        <v>176.5053331</v>
      </c>
      <c r="G72" s="27">
        <f t="shared" si="58"/>
        <v>186.566241</v>
      </c>
      <c r="H72" s="27">
        <f t="shared" si="58"/>
        <v>186.566241</v>
      </c>
      <c r="I72" s="27">
        <f t="shared" si="58"/>
        <v>186.566241</v>
      </c>
      <c r="J72" s="27">
        <f t="shared" si="58"/>
        <v>186.566241</v>
      </c>
      <c r="K72" s="88">
        <f t="shared" si="58"/>
        <v>186.566241</v>
      </c>
    </row>
    <row r="73">
      <c r="A73" s="2" t="s">
        <v>94</v>
      </c>
      <c r="B73" s="32">
        <f>'Ops Compute'!C12</f>
        <v>95</v>
      </c>
      <c r="C73" s="32">
        <f>'Ops Compute'!D12</f>
        <v>216</v>
      </c>
      <c r="D73" s="32">
        <f>'Ops Compute'!E12</f>
        <v>309</v>
      </c>
      <c r="E73" s="32">
        <f>'Ops Compute'!F12</f>
        <v>348</v>
      </c>
      <c r="F73" s="32">
        <f>'Ops Compute'!G12</f>
        <v>364</v>
      </c>
      <c r="G73" s="32">
        <f>'Ops Compute'!H12</f>
        <v>451</v>
      </c>
      <c r="H73" s="32">
        <f>'Ops Compute'!I12</f>
        <v>436</v>
      </c>
      <c r="I73" s="32">
        <f>'Ops Compute'!J12</f>
        <v>408</v>
      </c>
      <c r="J73" s="32">
        <f>'Ops Compute'!K12</f>
        <v>367</v>
      </c>
      <c r="K73" s="90">
        <f>'Ops Compute'!L12</f>
        <v>418</v>
      </c>
    </row>
    <row r="74">
      <c r="A74" s="34" t="s">
        <v>95</v>
      </c>
      <c r="B74" s="27">
        <f>Model!F59</f>
        <v>81</v>
      </c>
      <c r="C74" s="32">
        <f t="shared" ref="C74:D74" si="59">C73-B73</f>
        <v>121</v>
      </c>
      <c r="D74" s="32">
        <f t="shared" si="59"/>
        <v>93</v>
      </c>
      <c r="E74" s="32">
        <f t="shared" ref="E74:K74" si="60">E73-D73+B74</f>
        <v>120</v>
      </c>
      <c r="F74" s="32">
        <f t="shared" si="60"/>
        <v>137</v>
      </c>
      <c r="G74" s="32">
        <f t="shared" si="60"/>
        <v>180</v>
      </c>
      <c r="H74" s="32">
        <f t="shared" si="60"/>
        <v>105</v>
      </c>
      <c r="I74" s="32">
        <f t="shared" si="60"/>
        <v>109</v>
      </c>
      <c r="J74" s="32">
        <f t="shared" si="60"/>
        <v>139</v>
      </c>
      <c r="K74" s="90">
        <f t="shared" si="60"/>
        <v>156</v>
      </c>
    </row>
    <row r="75">
      <c r="A75" s="34" t="s">
        <v>96</v>
      </c>
      <c r="B75" s="27">
        <f>'Ops Compute'!C17</f>
        <v>95</v>
      </c>
      <c r="C75" s="27">
        <f>'Ops Compute'!D17</f>
        <v>216</v>
      </c>
      <c r="D75" s="27">
        <f>'Ops Compute'!E17</f>
        <v>309</v>
      </c>
      <c r="E75" s="27">
        <f>'Ops Compute'!F17</f>
        <v>348</v>
      </c>
      <c r="F75" s="27">
        <f>'Ops Compute'!G17</f>
        <v>364</v>
      </c>
      <c r="G75" s="27">
        <f>'Ops Compute'!H17</f>
        <v>451</v>
      </c>
      <c r="H75" s="27">
        <f>'Ops Compute'!I17</f>
        <v>436</v>
      </c>
      <c r="I75" s="27">
        <f>'Ops Compute'!J17</f>
        <v>408</v>
      </c>
      <c r="J75" s="27">
        <f>'Ops Compute'!K17</f>
        <v>367</v>
      </c>
      <c r="K75" s="88">
        <f>'Ops Compute'!L17</f>
        <v>418</v>
      </c>
    </row>
    <row r="76">
      <c r="A76" s="34" t="s">
        <v>98</v>
      </c>
      <c r="B76" s="27">
        <f>Model!F61</f>
        <v>95</v>
      </c>
      <c r="C76" s="32">
        <f t="shared" ref="C76:D76" si="61">C75-B75</f>
        <v>121</v>
      </c>
      <c r="D76" s="32">
        <f t="shared" si="61"/>
        <v>93</v>
      </c>
      <c r="E76" s="32">
        <f t="shared" ref="E76:K76" si="62">E75-D75+B76</f>
        <v>134</v>
      </c>
      <c r="F76" s="32">
        <f t="shared" si="62"/>
        <v>137</v>
      </c>
      <c r="G76" s="32">
        <f t="shared" si="62"/>
        <v>180</v>
      </c>
      <c r="H76" s="32">
        <f t="shared" si="62"/>
        <v>119</v>
      </c>
      <c r="I76" s="32">
        <f t="shared" si="62"/>
        <v>109</v>
      </c>
      <c r="J76" s="32">
        <f t="shared" si="62"/>
        <v>139</v>
      </c>
      <c r="K76" s="90">
        <f t="shared" si="62"/>
        <v>170</v>
      </c>
    </row>
    <row r="77">
      <c r="A77" s="1" t="s">
        <v>99</v>
      </c>
      <c r="B77" s="33">
        <f t="shared" ref="B77:K77" si="63">B62+B64+B68+B72</f>
        <v>7624.295618</v>
      </c>
      <c r="C77" s="33">
        <f t="shared" si="63"/>
        <v>8041.68816</v>
      </c>
      <c r="D77" s="33">
        <f t="shared" si="63"/>
        <v>13238.39866</v>
      </c>
      <c r="E77" s="33">
        <f t="shared" si="63"/>
        <v>16696.07909</v>
      </c>
      <c r="F77" s="33">
        <f t="shared" si="63"/>
        <v>17113.47163</v>
      </c>
      <c r="G77" s="33">
        <f t="shared" si="63"/>
        <v>19331.97603</v>
      </c>
      <c r="H77" s="33">
        <f t="shared" si="63"/>
        <v>18143.56693</v>
      </c>
      <c r="I77" s="33">
        <f t="shared" si="63"/>
        <v>18143.56693</v>
      </c>
      <c r="J77" s="33">
        <f t="shared" si="63"/>
        <v>19331.97603</v>
      </c>
      <c r="K77" s="92">
        <f t="shared" si="63"/>
        <v>18143.56693</v>
      </c>
    </row>
    <row r="78">
      <c r="A78" s="2" t="s">
        <v>100</v>
      </c>
      <c r="B78" s="30">
        <f>'Ops Storage'!C51</f>
        <v>206.1742105</v>
      </c>
      <c r="C78" s="30">
        <f>'Ops Storage'!D51</f>
        <v>370.5217105</v>
      </c>
      <c r="D78" s="30">
        <f>'Ops Storage'!E51</f>
        <v>586.0069105</v>
      </c>
      <c r="E78" s="30">
        <f>'Ops Storage'!F51</f>
        <v>667.1527105</v>
      </c>
      <c r="F78" s="30">
        <f>'Ops Storage'!G51</f>
        <v>734.9776105</v>
      </c>
      <c r="G78" s="30">
        <f>'Ops Storage'!H51</f>
        <v>798.1390105</v>
      </c>
      <c r="H78" s="30">
        <f>'Ops Storage'!I51</f>
        <v>858.5884105</v>
      </c>
      <c r="I78" s="30">
        <f>'Ops Storage'!J51</f>
        <v>917.9443105</v>
      </c>
      <c r="J78" s="30">
        <f>'Ops Storage'!K51</f>
        <v>974.4913105</v>
      </c>
      <c r="K78" s="93">
        <f>'Ops Storage'!L51</f>
        <v>1029.274311</v>
      </c>
    </row>
    <row r="79">
      <c r="A79" s="2" t="s">
        <v>101</v>
      </c>
      <c r="B79" s="27">
        <f>Model!F64</f>
        <v>156.42</v>
      </c>
      <c r="C79" s="30">
        <f t="shared" ref="C79:K79" si="64">C78-B78</f>
        <v>164.3475</v>
      </c>
      <c r="D79" s="30">
        <f t="shared" si="64"/>
        <v>215.4852</v>
      </c>
      <c r="E79" s="30">
        <f t="shared" si="64"/>
        <v>81.1458</v>
      </c>
      <c r="F79" s="30">
        <f t="shared" si="64"/>
        <v>67.8249</v>
      </c>
      <c r="G79" s="30">
        <f t="shared" si="64"/>
        <v>63.1614</v>
      </c>
      <c r="H79" s="30">
        <f t="shared" si="64"/>
        <v>60.4494</v>
      </c>
      <c r="I79" s="30">
        <f t="shared" si="64"/>
        <v>59.3559</v>
      </c>
      <c r="J79" s="30">
        <f t="shared" si="64"/>
        <v>56.547</v>
      </c>
      <c r="K79" s="93">
        <f t="shared" si="64"/>
        <v>54.783</v>
      </c>
    </row>
    <row r="80">
      <c r="A80" s="2" t="s">
        <v>251</v>
      </c>
      <c r="B80" s="27" t="str">
        <f t="array" ref="B80">if(column()&lt;=storageLifetime, "", if(column()=storageLifetime+1, Model!$E$64, index($B79:$K79,1,column()-storageLifetime-1)))</f>
        <v/>
      </c>
      <c r="C80" s="27" t="str">
        <f t="array" ref="C80">if(column()&lt;=storageLifetime, "", if(column()=storageLifetime+1, Model!$E$64, index($B79:$K79,1,column()-storageLifetime-1)))</f>
        <v/>
      </c>
      <c r="D80" s="27" t="str">
        <f t="array" ref="D80">if(column()&lt;=storageLifetime, "", if(column()=storageLifetime+1, Model!$E$64, index($B79:$K79,1,column()-storageLifetime-1)))</f>
        <v/>
      </c>
      <c r="E80" s="27" t="str">
        <f t="array" ref="E80">if(column()&lt;=storageLifetime, "", if(column()=storageLifetime+1, Model!$E$64, index($B79:$K79,1,column()-storageLifetime-1)))</f>
        <v/>
      </c>
      <c r="F80" s="27">
        <f t="array" ref="F80">if(column()&lt;=storageLifetime, "", if(column()=storageLifetime+1, Model!$E$64, index($B79:$K79,1,column()-storageLifetime-1)))</f>
        <v>26.07</v>
      </c>
      <c r="G80" s="27">
        <f t="array" ref="G80">if(column()&lt;=storageLifetime, "", if(column()=storageLifetime+1, Model!$E$64, index($B79:$K79,1,column()-storageLifetime-1)))</f>
        <v>156.42</v>
      </c>
      <c r="H80" s="27">
        <f t="array" ref="H80">if(column()&lt;=storageLifetime, "", if(column()=storageLifetime+1, Model!$E$64, index($B79:$K79,1,column()-storageLifetime-1)))</f>
        <v>164.3475</v>
      </c>
      <c r="I80" s="27">
        <f t="array" ref="I80">if(column()&lt;=storageLifetime, "", if(column()=storageLifetime+1, Model!$E$64, index($B79:$K79,1,column()-storageLifetime-1)))</f>
        <v>215.4852</v>
      </c>
      <c r="J80" s="27">
        <f t="array" ref="J80">if(column()&lt;=storageLifetime, "", if(column()=storageLifetime+1, Model!$E$64, index($B79:$K79,1,column()-storageLifetime-1)))</f>
        <v>81.1458</v>
      </c>
      <c r="K80" s="88">
        <f t="array" ref="K80">if(column()&lt;=storageLifetime, "", if(column()=storageLifetime+1, Model!$E$64, index($B79:$K79,1,column()-storageLifetime-1)))</f>
        <v>67.8249</v>
      </c>
    </row>
    <row r="81">
      <c r="A81" s="2" t="s">
        <v>252</v>
      </c>
      <c r="B81" s="27">
        <f t="shared" ref="B81:K81" si="65">B79+B80</f>
        <v>156.42</v>
      </c>
      <c r="C81" s="27">
        <f t="shared" si="65"/>
        <v>164.3475</v>
      </c>
      <c r="D81" s="27">
        <f t="shared" si="65"/>
        <v>215.4852</v>
      </c>
      <c r="E81" s="27">
        <f t="shared" si="65"/>
        <v>81.1458</v>
      </c>
      <c r="F81" s="27">
        <f t="shared" si="65"/>
        <v>93.8949</v>
      </c>
      <c r="G81" s="27">
        <f t="shared" si="65"/>
        <v>219.5814</v>
      </c>
      <c r="H81" s="27">
        <f t="shared" si="65"/>
        <v>224.7969</v>
      </c>
      <c r="I81" s="27">
        <f t="shared" si="65"/>
        <v>274.8411</v>
      </c>
      <c r="J81" s="27">
        <f t="shared" si="65"/>
        <v>137.6928</v>
      </c>
      <c r="K81" s="88">
        <f t="shared" si="65"/>
        <v>122.6079</v>
      </c>
    </row>
    <row r="82">
      <c r="A82" s="2" t="s">
        <v>102</v>
      </c>
      <c r="B82" s="27">
        <f>Model!F65</f>
        <v>24080.6694</v>
      </c>
      <c r="C82" s="30">
        <f>'Ops Storage'!D53</f>
        <v>39607.97794</v>
      </c>
      <c r="D82" s="30">
        <f>'Ops Storage'!E53</f>
        <v>57486.39798</v>
      </c>
      <c r="E82" s="30">
        <f>'Ops Storage'!F53</f>
        <v>75289.25115</v>
      </c>
      <c r="F82" s="30">
        <f>'Ops Storage'!G53</f>
        <v>92901.10775</v>
      </c>
      <c r="G82" s="30">
        <f>'Ops Storage'!H53</f>
        <v>110623.1668</v>
      </c>
      <c r="H82" s="30">
        <f>'Ops Storage'!I53</f>
        <v>128499.3714</v>
      </c>
      <c r="I82" s="30">
        <f>'Ops Storage'!J53</f>
        <v>146518.486</v>
      </c>
      <c r="J82" s="30">
        <f>'Ops Storage'!K53</f>
        <v>164631.1091</v>
      </c>
      <c r="K82" s="93">
        <f>'Ops Storage'!L53</f>
        <v>182890.1247</v>
      </c>
    </row>
    <row r="83">
      <c r="A83" s="2" t="s">
        <v>103</v>
      </c>
      <c r="B83" s="27">
        <f>Model!F66</f>
        <v>17451.09542</v>
      </c>
      <c r="C83" s="30">
        <f t="shared" ref="C83:K83" si="66">C82-B82</f>
        <v>15527.30854</v>
      </c>
      <c r="D83" s="30">
        <f t="shared" si="66"/>
        <v>17878.42004</v>
      </c>
      <c r="E83" s="30">
        <f t="shared" si="66"/>
        <v>17802.85316</v>
      </c>
      <c r="F83" s="30">
        <f t="shared" si="66"/>
        <v>17611.8566</v>
      </c>
      <c r="G83" s="30">
        <f t="shared" si="66"/>
        <v>17722.05908</v>
      </c>
      <c r="H83" s="30">
        <f t="shared" si="66"/>
        <v>17876.2046</v>
      </c>
      <c r="I83" s="30">
        <f t="shared" si="66"/>
        <v>18019.11452</v>
      </c>
      <c r="J83" s="30">
        <f t="shared" si="66"/>
        <v>18112.62308</v>
      </c>
      <c r="K83" s="93">
        <f t="shared" si="66"/>
        <v>18259.01564</v>
      </c>
    </row>
    <row r="84">
      <c r="A84" s="2" t="s">
        <v>253</v>
      </c>
      <c r="B84" s="27" t="str">
        <f t="array" ref="B84">if(column()&lt;=storageLifetime, "", if(column()=storageLifetime+1, Model!$E$66, index($B83:$K83,1,column()-storageLifetime-1)))</f>
        <v/>
      </c>
      <c r="C84" s="27" t="str">
        <f t="array" ref="C84">if(column()&lt;=storageLifetime, "", if(column()=storageLifetime+1, Model!$E$66, index($B83:$K83,1,column()-storageLifetime-1)))</f>
        <v/>
      </c>
      <c r="D84" s="27" t="str">
        <f t="array" ref="D84">if(column()&lt;=storageLifetime, "", if(column()=storageLifetime+1, Model!$E$66, index($B83:$K83,1,column()-storageLifetime-1)))</f>
        <v/>
      </c>
      <c r="E84" s="27" t="str">
        <f t="array" ref="E84">if(column()&lt;=storageLifetime, "", if(column()=storageLifetime+1, Model!$E$66, index($B83:$K83,1,column()-storageLifetime-1)))</f>
        <v/>
      </c>
      <c r="F84" s="27">
        <f t="array" ref="F84">if(column()&lt;=storageLifetime, "", if(column()=storageLifetime+1, Model!$E$66, index($B83:$K83,1,column()-storageLifetime-1)))</f>
        <v>3094.609981</v>
      </c>
      <c r="G84" s="27">
        <f t="array" ref="G84">if(column()&lt;=storageLifetime, "", if(column()=storageLifetime+1, Model!$E$66, index($B83:$K83,1,column()-storageLifetime-1)))</f>
        <v>17451.09542</v>
      </c>
      <c r="H84" s="27">
        <f t="array" ref="H84">if(column()&lt;=storageLifetime, "", if(column()=storageLifetime+1, Model!$E$66, index($B83:$K83,1,column()-storageLifetime-1)))</f>
        <v>15527.30854</v>
      </c>
      <c r="I84" s="27">
        <f t="array" ref="I84">if(column()&lt;=storageLifetime, "", if(column()=storageLifetime+1, Model!$E$66, index($B83:$K83,1,column()-storageLifetime-1)))</f>
        <v>17878.42004</v>
      </c>
      <c r="J84" s="27">
        <f t="array" ref="J84">if(column()&lt;=storageLifetime, "", if(column()=storageLifetime+1, Model!$E$66, index($B83:$K83,1,column()-storageLifetime-1)))</f>
        <v>17802.85316</v>
      </c>
      <c r="K84" s="88">
        <f t="array" ref="K84">if(column()&lt;=storageLifetime, "", if(column()=storageLifetime+1, Model!$E$66, index($B83:$K83,1,column()-storageLifetime-1)))</f>
        <v>17611.8566</v>
      </c>
    </row>
    <row r="85">
      <c r="A85" s="2" t="s">
        <v>254</v>
      </c>
      <c r="B85" s="27">
        <f t="shared" ref="B85:K85" si="67">B83+B84</f>
        <v>17451.09542</v>
      </c>
      <c r="C85" s="27">
        <f t="shared" si="67"/>
        <v>15527.30854</v>
      </c>
      <c r="D85" s="27">
        <f t="shared" si="67"/>
        <v>17878.42004</v>
      </c>
      <c r="E85" s="27">
        <f t="shared" si="67"/>
        <v>17802.85316</v>
      </c>
      <c r="F85" s="27">
        <f t="shared" si="67"/>
        <v>20706.46659</v>
      </c>
      <c r="G85" s="27">
        <f t="shared" si="67"/>
        <v>35173.1545</v>
      </c>
      <c r="H85" s="27">
        <f t="shared" si="67"/>
        <v>33403.51315</v>
      </c>
      <c r="I85" s="27">
        <f t="shared" si="67"/>
        <v>35897.53457</v>
      </c>
      <c r="J85" s="27">
        <f t="shared" si="67"/>
        <v>35915.47625</v>
      </c>
      <c r="K85" s="88">
        <f t="shared" si="67"/>
        <v>35870.87225</v>
      </c>
    </row>
    <row r="86">
      <c r="A86" s="2" t="s">
        <v>104</v>
      </c>
      <c r="B86" s="27">
        <f>'Ops Storage'!C61</f>
        <v>16617.20192</v>
      </c>
      <c r="C86" s="27">
        <f>'Ops Storage'!D61</f>
        <v>35477.6685</v>
      </c>
      <c r="D86" s="27">
        <f>'Ops Storage'!E61</f>
        <v>57061.6856</v>
      </c>
      <c r="E86" s="27">
        <f>'Ops Storage'!F61</f>
        <v>77208.71972</v>
      </c>
      <c r="F86" s="27">
        <f>'Ops Storage'!G61</f>
        <v>97355.75384</v>
      </c>
      <c r="G86" s="27">
        <f>'Ops Storage'!H61</f>
        <v>117502.788</v>
      </c>
      <c r="H86" s="27">
        <f>'Ops Storage'!I61</f>
        <v>137649.8221</v>
      </c>
      <c r="I86" s="27">
        <f>'Ops Storage'!J61</f>
        <v>157796.8562</v>
      </c>
      <c r="J86" s="27">
        <f>'Ops Storage'!K61</f>
        <v>177943.8903</v>
      </c>
      <c r="K86" s="88">
        <f>'Ops Storage'!L61</f>
        <v>198090.9244</v>
      </c>
    </row>
    <row r="87">
      <c r="A87" s="2" t="s">
        <v>105</v>
      </c>
      <c r="B87" s="27">
        <f>Model!F68</f>
        <v>13188.24681</v>
      </c>
      <c r="C87" s="32">
        <f t="shared" ref="C87:K87" si="68">C86-B86</f>
        <v>18860.46658</v>
      </c>
      <c r="D87" s="32">
        <f t="shared" si="68"/>
        <v>21584.0171</v>
      </c>
      <c r="E87" s="32">
        <f t="shared" si="68"/>
        <v>20147.03412</v>
      </c>
      <c r="F87" s="32">
        <f t="shared" si="68"/>
        <v>20147.03412</v>
      </c>
      <c r="G87" s="32">
        <f t="shared" si="68"/>
        <v>20147.03412</v>
      </c>
      <c r="H87" s="32">
        <f t="shared" si="68"/>
        <v>20147.03412</v>
      </c>
      <c r="I87" s="32">
        <f t="shared" si="68"/>
        <v>20147.03412</v>
      </c>
      <c r="J87" s="32">
        <f t="shared" si="68"/>
        <v>20147.03412</v>
      </c>
      <c r="K87" s="90">
        <f t="shared" si="68"/>
        <v>20147.03412</v>
      </c>
    </row>
    <row r="88">
      <c r="A88" s="2" t="s">
        <v>255</v>
      </c>
      <c r="B88" s="27" t="str">
        <f t="array" ref="B88">if(column()&lt;=storageLifetime, "", if(column()=storageLifetime+1, Model!$E$68, index($B87:$K87,1,column()-storageLifetime-1)))</f>
        <v/>
      </c>
      <c r="C88" s="27" t="str">
        <f t="array" ref="C88">if(column()&lt;=storageLifetime, "", if(column()=storageLifetime+1, Model!$E$68, index($B87:$K87,1,column()-storageLifetime-1)))</f>
        <v/>
      </c>
      <c r="D88" s="27" t="str">
        <f t="array" ref="D88">if(column()&lt;=storageLifetime, "", if(column()=storageLifetime+1, Model!$E$68, index($B87:$K87,1,column()-storageLifetime-1)))</f>
        <v/>
      </c>
      <c r="E88" s="27" t="str">
        <f t="array" ref="E88">if(column()&lt;=storageLifetime, "", if(column()=storageLifetime+1, Model!$E$68, index($B87:$K87,1,column()-storageLifetime-1)))</f>
        <v/>
      </c>
      <c r="F88" s="27">
        <f t="array" ref="F88">if(column()&lt;=storageLifetime, "", if(column()=storageLifetime+1, Model!$E$68, index($B87:$K87,1,column()-storageLifetime-1)))</f>
        <v>2553.024264</v>
      </c>
      <c r="G88" s="27">
        <f t="array" ref="G88">if(column()&lt;=storageLifetime, "", if(column()=storageLifetime+1, Model!$E$68, index($B87:$K87,1,column()-storageLifetime-1)))</f>
        <v>13188.24681</v>
      </c>
      <c r="H88" s="27">
        <f t="array" ref="H88">if(column()&lt;=storageLifetime, "", if(column()=storageLifetime+1, Model!$E$68, index($B87:$K87,1,column()-storageLifetime-1)))</f>
        <v>18860.46658</v>
      </c>
      <c r="I88" s="27">
        <f t="array" ref="I88">if(column()&lt;=storageLifetime, "", if(column()=storageLifetime+1, Model!$E$68, index($B87:$K87,1,column()-storageLifetime-1)))</f>
        <v>21584.0171</v>
      </c>
      <c r="J88" s="27">
        <f t="array" ref="J88">if(column()&lt;=storageLifetime, "", if(column()=storageLifetime+1, Model!$E$68, index($B87:$K87,1,column()-storageLifetime-1)))</f>
        <v>20147.03412</v>
      </c>
      <c r="K88" s="88">
        <f t="array" ref="K88">if(column()&lt;=storageLifetime, "", if(column()=storageLifetime+1, Model!$E$68, index($B87:$K87,1,column()-storageLifetime-1)))</f>
        <v>20147.03412</v>
      </c>
    </row>
    <row r="89">
      <c r="A89" s="2" t="s">
        <v>256</v>
      </c>
      <c r="B89" s="27">
        <f t="shared" ref="B89:K89" si="69">B87+B88</f>
        <v>13188.24681</v>
      </c>
      <c r="C89" s="27">
        <f t="shared" si="69"/>
        <v>18860.46658</v>
      </c>
      <c r="D89" s="27">
        <f t="shared" si="69"/>
        <v>21584.0171</v>
      </c>
      <c r="E89" s="27">
        <f t="shared" si="69"/>
        <v>20147.03412</v>
      </c>
      <c r="F89" s="27">
        <f t="shared" si="69"/>
        <v>22700.05838</v>
      </c>
      <c r="G89" s="27">
        <f t="shared" si="69"/>
        <v>33335.28093</v>
      </c>
      <c r="H89" s="27">
        <f t="shared" si="69"/>
        <v>39007.5007</v>
      </c>
      <c r="I89" s="27">
        <f t="shared" si="69"/>
        <v>41731.05122</v>
      </c>
      <c r="J89" s="27">
        <f t="shared" si="69"/>
        <v>40294.06824</v>
      </c>
      <c r="K89" s="88">
        <f t="shared" si="69"/>
        <v>40294.06824</v>
      </c>
    </row>
    <row r="90">
      <c r="A90" s="2" t="s">
        <v>106</v>
      </c>
      <c r="B90" s="27">
        <f>'Ops Storage'!C66</f>
        <v>40472.48039</v>
      </c>
      <c r="C90" s="27">
        <f>'Ops Storage'!D66</f>
        <v>80309.80858</v>
      </c>
      <c r="D90" s="27">
        <f>'Ops Storage'!E66</f>
        <v>135056.0499</v>
      </c>
      <c r="E90" s="27">
        <f>'Ops Storage'!F66</f>
        <v>204548.6099</v>
      </c>
      <c r="F90" s="27">
        <f>'Ops Storage'!G66</f>
        <v>288455.6559</v>
      </c>
      <c r="G90" s="27">
        <f>'Ops Storage'!H66</f>
        <v>386795.5548</v>
      </c>
      <c r="H90" s="27">
        <f>'Ops Storage'!I66</f>
        <v>499593.9976</v>
      </c>
      <c r="I90" s="27">
        <f>'Ops Storage'!J66</f>
        <v>626874.8027</v>
      </c>
      <c r="J90" s="27">
        <f>'Ops Storage'!K66</f>
        <v>768653.5547</v>
      </c>
      <c r="K90" s="88">
        <f>'Ops Storage'!L66</f>
        <v>924954.6525</v>
      </c>
    </row>
    <row r="91">
      <c r="A91" s="2" t="s">
        <v>107</v>
      </c>
      <c r="B91" s="27">
        <f>Model!F70</f>
        <v>27256.45204</v>
      </c>
      <c r="C91" s="32">
        <f t="shared" ref="C91:K91" si="70">C90-B90</f>
        <v>39837.32819</v>
      </c>
      <c r="D91" s="32">
        <f t="shared" si="70"/>
        <v>54746.24134</v>
      </c>
      <c r="E91" s="32">
        <f t="shared" si="70"/>
        <v>69492.56001</v>
      </c>
      <c r="F91" s="32">
        <f t="shared" si="70"/>
        <v>83907.04593</v>
      </c>
      <c r="G91" s="32">
        <f t="shared" si="70"/>
        <v>98339.89892</v>
      </c>
      <c r="H91" s="32">
        <f t="shared" si="70"/>
        <v>112798.4428</v>
      </c>
      <c r="I91" s="32">
        <f t="shared" si="70"/>
        <v>127280.8051</v>
      </c>
      <c r="J91" s="32">
        <f t="shared" si="70"/>
        <v>141778.752</v>
      </c>
      <c r="K91" s="90">
        <f t="shared" si="70"/>
        <v>156301.0978</v>
      </c>
    </row>
    <row r="92">
      <c r="A92" s="2" t="s">
        <v>108</v>
      </c>
      <c r="B92" s="27">
        <f>'Ops Storage'!C70</f>
        <v>267</v>
      </c>
      <c r="C92" s="27">
        <f>'Ops Storage'!D70</f>
        <v>435</v>
      </c>
      <c r="D92" s="27">
        <f>'Ops Storage'!E70</f>
        <v>622</v>
      </c>
      <c r="E92" s="27">
        <f>'Ops Storage'!F70</f>
        <v>795</v>
      </c>
      <c r="F92" s="27">
        <f>'Ops Storage'!G70</f>
        <v>937</v>
      </c>
      <c r="G92" s="27">
        <f>'Ops Storage'!H70</f>
        <v>1080</v>
      </c>
      <c r="H92" s="27">
        <f>'Ops Storage'!I70</f>
        <v>1222</v>
      </c>
      <c r="I92" s="27">
        <f>'Ops Storage'!J70</f>
        <v>1364</v>
      </c>
      <c r="J92" s="27">
        <f>'Ops Storage'!K70</f>
        <v>1507</v>
      </c>
      <c r="K92" s="88">
        <f>'Ops Storage'!L70</f>
        <v>1649</v>
      </c>
    </row>
    <row r="93">
      <c r="A93" s="2" t="s">
        <v>109</v>
      </c>
      <c r="B93" s="27">
        <f>B92</f>
        <v>267</v>
      </c>
      <c r="C93" s="32">
        <f t="shared" ref="C93:K93" si="71">C92-B92</f>
        <v>168</v>
      </c>
      <c r="D93" s="32">
        <f t="shared" si="71"/>
        <v>187</v>
      </c>
      <c r="E93" s="32">
        <f t="shared" si="71"/>
        <v>173</v>
      </c>
      <c r="F93" s="32">
        <f t="shared" si="71"/>
        <v>142</v>
      </c>
      <c r="G93" s="32">
        <f t="shared" si="71"/>
        <v>143</v>
      </c>
      <c r="H93" s="32">
        <f t="shared" si="71"/>
        <v>142</v>
      </c>
      <c r="I93" s="32">
        <f t="shared" si="71"/>
        <v>142</v>
      </c>
      <c r="J93" s="32">
        <f t="shared" si="71"/>
        <v>143</v>
      </c>
      <c r="K93" s="90">
        <f t="shared" si="71"/>
        <v>142</v>
      </c>
    </row>
    <row r="94">
      <c r="A94" s="2" t="s">
        <v>257</v>
      </c>
      <c r="B94" s="27" t="str">
        <f t="array" ref="B94">if(column()&lt;=storageLifetime, "", if(column()=storageLifetime+1, "", index($B93:$K93,1,column()-storageLifetime-1)))</f>
        <v/>
      </c>
      <c r="C94" s="27" t="str">
        <f t="array" ref="C94">if(column()&lt;=storageLifetime, "", if(column()=storageLifetime+1, "", index($B93:$K93,1,column()-storageLifetime-1)))</f>
        <v/>
      </c>
      <c r="D94" s="27" t="str">
        <f t="array" ref="D94">if(column()&lt;=storageLifetime, "", if(column()=storageLifetime+1, "", index($B93:$K93,1,column()-storageLifetime-1)))</f>
        <v/>
      </c>
      <c r="E94" s="27" t="str">
        <f t="array" ref="E94">if(column()&lt;=storageLifetime, "", if(column()=storageLifetime+1, "", index($B93:$K93,1,column()-storageLifetime-1)))</f>
        <v/>
      </c>
      <c r="F94" s="27" t="str">
        <f t="array" ref="F94">if(column()&lt;=storageLifetime, "", if(column()=storageLifetime+1, "", index($B93:$K93,1,column()-storageLifetime-1)))</f>
        <v/>
      </c>
      <c r="G94" s="27">
        <f t="array" ref="G94">if(column()&lt;=storageLifetime, "", if(column()=storageLifetime+1, "", index($B93:$K93,1,column()-storageLifetime-1)))</f>
        <v>267</v>
      </c>
      <c r="H94" s="27">
        <f t="array" ref="H94">if(column()&lt;=storageLifetime, "", if(column()=storageLifetime+1, "", index($B93:$K93,1,column()-storageLifetime-1)))</f>
        <v>168</v>
      </c>
      <c r="I94" s="27">
        <f t="array" ref="I94">if(column()&lt;=storageLifetime, "", if(column()=storageLifetime+1, "", index($B93:$K93,1,column()-storageLifetime-1)))</f>
        <v>187</v>
      </c>
      <c r="J94" s="27">
        <f t="array" ref="J94">if(column()&lt;=storageLifetime, "", if(column()=storageLifetime+1, "", index($B93:$K93,1,column()-storageLifetime-1)))</f>
        <v>173</v>
      </c>
      <c r="K94" s="88">
        <f t="array" ref="K94">if(column()&lt;=storageLifetime, "", if(column()=storageLifetime+1, "", index($B93:$K93,1,column()-storageLifetime-1)))</f>
        <v>142</v>
      </c>
    </row>
    <row r="95">
      <c r="A95" s="2" t="s">
        <v>258</v>
      </c>
      <c r="B95" s="27">
        <f t="shared" ref="B95:K95" si="72">B93+B94</f>
        <v>267</v>
      </c>
      <c r="C95" s="27">
        <f t="shared" si="72"/>
        <v>168</v>
      </c>
      <c r="D95" s="27">
        <f t="shared" si="72"/>
        <v>187</v>
      </c>
      <c r="E95" s="27">
        <f t="shared" si="72"/>
        <v>173</v>
      </c>
      <c r="F95" s="27">
        <f t="shared" si="72"/>
        <v>142</v>
      </c>
      <c r="G95" s="27">
        <f t="shared" si="72"/>
        <v>410</v>
      </c>
      <c r="H95" s="27">
        <f t="shared" si="72"/>
        <v>310</v>
      </c>
      <c r="I95" s="27">
        <f t="shared" si="72"/>
        <v>329</v>
      </c>
      <c r="J95" s="27">
        <f t="shared" si="72"/>
        <v>316</v>
      </c>
      <c r="K95" s="88">
        <f t="shared" si="72"/>
        <v>284</v>
      </c>
    </row>
    <row r="96">
      <c r="A96" s="2" t="s">
        <v>110</v>
      </c>
      <c r="B96" s="27">
        <f>'Ops Storage'!C72</f>
        <v>10500</v>
      </c>
      <c r="C96" s="27">
        <f>'Ops Storage'!D72</f>
        <v>18391</v>
      </c>
      <c r="D96" s="27">
        <f>'Ops Storage'!E72</f>
        <v>25950</v>
      </c>
      <c r="E96" s="27">
        <f>'Ops Storage'!F72</f>
        <v>31007</v>
      </c>
      <c r="F96" s="27">
        <f>'Ops Storage'!G72</f>
        <v>36063</v>
      </c>
      <c r="G96" s="27">
        <f>'Ops Storage'!H72</f>
        <v>41120</v>
      </c>
      <c r="H96" s="27">
        <f>'Ops Storage'!I72</f>
        <v>46177</v>
      </c>
      <c r="I96" s="27">
        <f>'Ops Storage'!J72</f>
        <v>51234</v>
      </c>
      <c r="J96" s="27">
        <f>'Ops Storage'!K72</f>
        <v>56291</v>
      </c>
      <c r="K96" s="88">
        <f>'Ops Storage'!L72</f>
        <v>61348</v>
      </c>
    </row>
    <row r="97">
      <c r="A97" s="2" t="s">
        <v>111</v>
      </c>
      <c r="B97" s="27">
        <f>B96</f>
        <v>10500</v>
      </c>
      <c r="C97" s="32">
        <f t="shared" ref="C97:K97" si="73">C96-B96</f>
        <v>7891</v>
      </c>
      <c r="D97" s="32">
        <f t="shared" si="73"/>
        <v>7559</v>
      </c>
      <c r="E97" s="32">
        <f t="shared" si="73"/>
        <v>5057</v>
      </c>
      <c r="F97" s="32">
        <f t="shared" si="73"/>
        <v>5056</v>
      </c>
      <c r="G97" s="32">
        <f t="shared" si="73"/>
        <v>5057</v>
      </c>
      <c r="H97" s="32">
        <f t="shared" si="73"/>
        <v>5057</v>
      </c>
      <c r="I97" s="32">
        <f t="shared" si="73"/>
        <v>5057</v>
      </c>
      <c r="J97" s="32">
        <f t="shared" si="73"/>
        <v>5057</v>
      </c>
      <c r="K97" s="90">
        <f t="shared" si="73"/>
        <v>5057</v>
      </c>
    </row>
    <row r="98">
      <c r="A98" s="2" t="s">
        <v>259</v>
      </c>
      <c r="B98" s="27" t="str">
        <f t="array" ref="B98">if(column()&lt;=storageLifetime, "", if(column()=storageLifetime+1, "", index($B97:$K97,1,column()-storageLifetime-1)))</f>
        <v/>
      </c>
      <c r="C98" s="27" t="str">
        <f t="array" ref="C98">if(column()&lt;=storageLifetime, "", if(column()=storageLifetime+1, "", index($B97:$K97,1,column()-storageLifetime-1)))</f>
        <v/>
      </c>
      <c r="D98" s="27" t="str">
        <f t="array" ref="D98">if(column()&lt;=storageLifetime, "", if(column()=storageLifetime+1, "", index($B97:$K97,1,column()-storageLifetime-1)))</f>
        <v/>
      </c>
      <c r="E98" s="27" t="str">
        <f t="array" ref="E98">if(column()&lt;=storageLifetime, "", if(column()=storageLifetime+1, "", index($B97:$K97,1,column()-storageLifetime-1)))</f>
        <v/>
      </c>
      <c r="F98" s="27" t="str">
        <f t="array" ref="F98">if(column()&lt;=storageLifetime, "", if(column()=storageLifetime+1, "", index($B97:$K97,1,column()-storageLifetime-1)))</f>
        <v/>
      </c>
      <c r="G98" s="27">
        <f t="array" ref="G98">if(column()&lt;=storageLifetime, "", if(column()=storageLifetime+1, "", index($B97:$K97,1,column()-storageLifetime-1)))</f>
        <v>10500</v>
      </c>
      <c r="H98" s="27">
        <f t="array" ref="H98">if(column()&lt;=storageLifetime, "", if(column()=storageLifetime+1, "", index($B97:$K97,1,column()-storageLifetime-1)))</f>
        <v>7891</v>
      </c>
      <c r="I98" s="27">
        <f t="array" ref="I98">if(column()&lt;=storageLifetime, "", if(column()=storageLifetime+1, "", index($B97:$K97,1,column()-storageLifetime-1)))</f>
        <v>7559</v>
      </c>
      <c r="J98" s="27">
        <f t="array" ref="J98">if(column()&lt;=storageLifetime, "", if(column()=storageLifetime+1, "", index($B97:$K97,1,column()-storageLifetime-1)))</f>
        <v>5057</v>
      </c>
      <c r="K98" s="88">
        <f t="array" ref="K98">if(column()&lt;=storageLifetime, "", if(column()=storageLifetime+1, "", index($B97:$K97,1,column()-storageLifetime-1)))</f>
        <v>5056</v>
      </c>
    </row>
    <row r="99">
      <c r="A99" s="2" t="s">
        <v>260</v>
      </c>
      <c r="B99" s="32">
        <f t="shared" ref="B99:K99" si="74">B97+B98</f>
        <v>10500</v>
      </c>
      <c r="C99" s="32">
        <f t="shared" si="74"/>
        <v>7891</v>
      </c>
      <c r="D99" s="32">
        <f t="shared" si="74"/>
        <v>7559</v>
      </c>
      <c r="E99" s="32">
        <f t="shared" si="74"/>
        <v>5057</v>
      </c>
      <c r="F99" s="32">
        <f t="shared" si="74"/>
        <v>5056</v>
      </c>
      <c r="G99" s="32">
        <f t="shared" si="74"/>
        <v>15557</v>
      </c>
      <c r="H99" s="32">
        <f t="shared" si="74"/>
        <v>12948</v>
      </c>
      <c r="I99" s="32">
        <f t="shared" si="74"/>
        <v>12616</v>
      </c>
      <c r="J99" s="32">
        <f t="shared" si="74"/>
        <v>10114</v>
      </c>
      <c r="K99" s="90">
        <f t="shared" si="74"/>
        <v>10113</v>
      </c>
    </row>
    <row r="100">
      <c r="C100" s="10"/>
      <c r="K100" s="66"/>
    </row>
    <row r="101">
      <c r="A101" s="1"/>
      <c r="B101" s="2"/>
      <c r="K101" s="66"/>
    </row>
    <row r="102">
      <c r="A102" s="1" t="s">
        <v>261</v>
      </c>
      <c r="B102" s="2" t="s">
        <v>262</v>
      </c>
      <c r="C102" s="2">
        <v>11.0</v>
      </c>
      <c r="D102" s="2">
        <v>0.0</v>
      </c>
      <c r="K102" s="66"/>
    </row>
    <row r="103">
      <c r="A103" s="1" t="s">
        <v>3</v>
      </c>
      <c r="B103" s="5">
        <f t="shared" ref="B103:K103" si="75">B$3</f>
        <v>2024</v>
      </c>
      <c r="C103" s="5">
        <f t="shared" si="75"/>
        <v>2025</v>
      </c>
      <c r="D103" s="5">
        <f t="shared" si="75"/>
        <v>2026</v>
      </c>
      <c r="E103" s="5">
        <f t="shared" si="75"/>
        <v>2027</v>
      </c>
      <c r="F103" s="5">
        <f t="shared" si="75"/>
        <v>2028</v>
      </c>
      <c r="G103" s="5">
        <f t="shared" si="75"/>
        <v>2029</v>
      </c>
      <c r="H103" s="5">
        <f t="shared" si="75"/>
        <v>2030</v>
      </c>
      <c r="I103" s="5">
        <f t="shared" si="75"/>
        <v>2031</v>
      </c>
      <c r="J103" s="5">
        <f t="shared" si="75"/>
        <v>2032</v>
      </c>
      <c r="K103" s="68">
        <f t="shared" si="75"/>
        <v>2033</v>
      </c>
      <c r="L103" s="3"/>
      <c r="M103" s="3"/>
      <c r="N103" s="3"/>
      <c r="O103" s="3"/>
      <c r="P103" s="3"/>
      <c r="Q103" s="3"/>
      <c r="R103" s="3"/>
      <c r="S103" s="3"/>
      <c r="T103" s="3"/>
      <c r="U103" s="3"/>
      <c r="V103" s="3"/>
      <c r="W103" s="3"/>
      <c r="X103" s="3"/>
      <c r="Y103" s="3"/>
    </row>
    <row r="104">
      <c r="A104" s="2" t="s">
        <v>119</v>
      </c>
      <c r="B104" s="32">
        <f>roundup(B77/Model!$D$26,0)</f>
        <v>283</v>
      </c>
      <c r="C104" s="32">
        <f>roundup(C77/Model!$D$26,0)</f>
        <v>298</v>
      </c>
      <c r="D104" s="32">
        <f>roundup(D77/Model!$D$26,0)</f>
        <v>491</v>
      </c>
      <c r="E104" s="32">
        <f>roundup(E77/Model!$D$26,0)</f>
        <v>619</v>
      </c>
      <c r="F104" s="32">
        <f>roundup(F77/Model!$D$26,0)</f>
        <v>634</v>
      </c>
      <c r="G104" s="32">
        <f>roundup(G77/Model!$D$26,0)</f>
        <v>716</v>
      </c>
      <c r="H104" s="32">
        <f>roundup(H77/Model!$D$26,0)</f>
        <v>672</v>
      </c>
      <c r="I104" s="32">
        <f>roundup(I77/Model!$D$26,0)</f>
        <v>672</v>
      </c>
      <c r="J104" s="32">
        <f>roundup(J77/Model!$D$26,0)</f>
        <v>716</v>
      </c>
      <c r="K104" s="90">
        <f>roundup(K77/Model!$D$26,0)</f>
        <v>672</v>
      </c>
    </row>
    <row r="105">
      <c r="A105" s="1" t="str">
        <f>concat(concat("Approximate cost (",Model!G11), " Mdollars)")</f>
        <v>Approximate cost (2020 Mdollars)</v>
      </c>
      <c r="B105" s="40">
        <f>B104*Model!$E$26/1000000</f>
        <v>2.83</v>
      </c>
      <c r="C105" s="40">
        <f>C104*Model!$E$26/1000000</f>
        <v>2.98</v>
      </c>
      <c r="D105" s="40">
        <f>D104*Model!$E$26/1000000</f>
        <v>4.91</v>
      </c>
      <c r="E105" s="40">
        <f>E104*Model!$E$26/1000000</f>
        <v>6.19</v>
      </c>
      <c r="F105" s="40">
        <f>F104*Model!$E$26/1000000</f>
        <v>6.34</v>
      </c>
      <c r="G105" s="40">
        <f>G104*Model!$E$26/1000000</f>
        <v>7.16</v>
      </c>
      <c r="H105" s="40">
        <f>H104*Model!$E$26/1000000</f>
        <v>6.72</v>
      </c>
      <c r="I105" s="40">
        <f>I104*Model!$E$26/1000000</f>
        <v>6.72</v>
      </c>
      <c r="J105" s="40">
        <f>J104*Model!$E$26/1000000</f>
        <v>7.16</v>
      </c>
      <c r="K105" s="94">
        <f>K104*Model!$E$26/1000000</f>
        <v>6.72</v>
      </c>
      <c r="L105" s="3"/>
      <c r="M105" s="3"/>
      <c r="N105" s="3"/>
      <c r="O105" s="3"/>
      <c r="P105" s="3"/>
      <c r="Q105" s="3"/>
      <c r="R105" s="3"/>
      <c r="S105" s="3"/>
      <c r="T105" s="3"/>
      <c r="U105" s="3"/>
      <c r="V105" s="3"/>
      <c r="W105" s="3"/>
      <c r="X105" s="3"/>
      <c r="Y105" s="3"/>
    </row>
    <row r="106">
      <c r="B106" s="41"/>
      <c r="K106" s="66"/>
    </row>
    <row r="107">
      <c r="A107" s="1" t="s">
        <v>263</v>
      </c>
      <c r="B107" s="2" t="s">
        <v>264</v>
      </c>
      <c r="C107" s="2">
        <v>11.0</v>
      </c>
      <c r="D107" s="2">
        <v>0.0</v>
      </c>
      <c r="K107" s="66"/>
    </row>
    <row r="108">
      <c r="A108" s="1" t="s">
        <v>3</v>
      </c>
      <c r="B108" s="5">
        <f t="shared" ref="B108:K108" si="76">B$3</f>
        <v>2024</v>
      </c>
      <c r="C108" s="5">
        <f t="shared" si="76"/>
        <v>2025</v>
      </c>
      <c r="D108" s="5">
        <f t="shared" si="76"/>
        <v>2026</v>
      </c>
      <c r="E108" s="5">
        <f t="shared" si="76"/>
        <v>2027</v>
      </c>
      <c r="F108" s="5">
        <f t="shared" si="76"/>
        <v>2028</v>
      </c>
      <c r="G108" s="5">
        <f t="shared" si="76"/>
        <v>2029</v>
      </c>
      <c r="H108" s="5">
        <f t="shared" si="76"/>
        <v>2030</v>
      </c>
      <c r="I108" s="5">
        <f t="shared" si="76"/>
        <v>2031</v>
      </c>
      <c r="J108" s="5">
        <f t="shared" si="76"/>
        <v>2032</v>
      </c>
      <c r="K108" s="68">
        <f t="shared" si="76"/>
        <v>2033</v>
      </c>
    </row>
    <row r="109">
      <c r="A109" s="2" t="s">
        <v>265</v>
      </c>
      <c r="B109" s="32">
        <f>roundup((B62+B64+B68)/Model!$D$26,0)</f>
        <v>279</v>
      </c>
      <c r="C109" s="32">
        <f>roundup((C62+C64+C68)/Model!$D$26,0)</f>
        <v>295</v>
      </c>
      <c r="D109" s="32">
        <f>roundup((D62+D64+D68)/Model!$D$26,0)</f>
        <v>487</v>
      </c>
      <c r="E109" s="32">
        <f>roundup((E62+E64+E68)/Model!$D$26,0)</f>
        <v>612</v>
      </c>
      <c r="F109" s="32">
        <f>roundup((F62+F64+F68)/Model!$D$26,0)</f>
        <v>628</v>
      </c>
      <c r="G109" s="32">
        <f>roundup((G62+G64+G68)/Model!$D$26,0)</f>
        <v>710</v>
      </c>
      <c r="H109" s="32">
        <f>roundup((H62+H64+H68)/Model!$D$26,0)</f>
        <v>666</v>
      </c>
      <c r="I109" s="32">
        <f>roundup((I62+I64+I68)/Model!$D$26,0)</f>
        <v>666</v>
      </c>
      <c r="J109" s="32">
        <f>roundup((J62+J64+J68)/Model!$D$26,0)</f>
        <v>710</v>
      </c>
      <c r="K109" s="90">
        <f>roundup((K62+K64+K68)/Model!$D$26,0)</f>
        <v>666</v>
      </c>
    </row>
    <row r="110">
      <c r="A110" s="1" t="str">
        <f>concat(concat("Approximate cost (",Model!$G$11), " Mdollars)")</f>
        <v>Approximate cost (2020 Mdollars)</v>
      </c>
      <c r="B110" s="40">
        <f>B109*Model!$E$26/1000000</f>
        <v>2.79</v>
      </c>
      <c r="C110" s="40">
        <f>C109*Model!$E$26/1000000</f>
        <v>2.95</v>
      </c>
      <c r="D110" s="40">
        <f>D109*Model!$E$26/1000000</f>
        <v>4.87</v>
      </c>
      <c r="E110" s="40">
        <f>E109*Model!$E$26/1000000</f>
        <v>6.12</v>
      </c>
      <c r="F110" s="40">
        <f>F109*Model!$E$26/1000000</f>
        <v>6.28</v>
      </c>
      <c r="G110" s="40">
        <f>G109*Model!$E$26/1000000</f>
        <v>7.1</v>
      </c>
      <c r="H110" s="40">
        <f>H109*Model!$E$26/1000000</f>
        <v>6.66</v>
      </c>
      <c r="I110" s="40">
        <f>I109*Model!$E$26/1000000</f>
        <v>6.66</v>
      </c>
      <c r="J110" s="40">
        <f>J109*Model!$E$26/1000000</f>
        <v>7.1</v>
      </c>
      <c r="K110" s="94">
        <f>K109*Model!$E$26/1000000</f>
        <v>6.66</v>
      </c>
    </row>
    <row r="111">
      <c r="A111" s="2"/>
      <c r="B111" s="41"/>
      <c r="K111" s="66"/>
    </row>
    <row r="112">
      <c r="A112" s="1" t="s">
        <v>266</v>
      </c>
      <c r="B112" s="2" t="s">
        <v>267</v>
      </c>
      <c r="C112" s="2">
        <v>11.0</v>
      </c>
      <c r="D112" s="2">
        <v>0.0</v>
      </c>
      <c r="K112" s="66"/>
    </row>
    <row r="113">
      <c r="A113" s="1" t="s">
        <v>3</v>
      </c>
      <c r="B113" s="5">
        <f t="shared" ref="B113:K113" si="77">B$3</f>
        <v>2024</v>
      </c>
      <c r="C113" s="5">
        <f t="shared" si="77"/>
        <v>2025</v>
      </c>
      <c r="D113" s="5">
        <f t="shared" si="77"/>
        <v>2026</v>
      </c>
      <c r="E113" s="5">
        <f t="shared" si="77"/>
        <v>2027</v>
      </c>
      <c r="F113" s="5">
        <f t="shared" si="77"/>
        <v>2028</v>
      </c>
      <c r="G113" s="5">
        <f t="shared" si="77"/>
        <v>2029</v>
      </c>
      <c r="H113" s="5">
        <f t="shared" si="77"/>
        <v>2030</v>
      </c>
      <c r="I113" s="5">
        <f t="shared" si="77"/>
        <v>2031</v>
      </c>
      <c r="J113" s="5">
        <f t="shared" si="77"/>
        <v>2032</v>
      </c>
      <c r="K113" s="68">
        <f t="shared" si="77"/>
        <v>2033</v>
      </c>
    </row>
    <row r="114">
      <c r="A114" s="2" t="s">
        <v>268</v>
      </c>
      <c r="B114" s="32">
        <f>roundup(B72/Model!$D$26,0)</f>
        <v>4</v>
      </c>
      <c r="C114" s="32">
        <f>roundup(C72/Model!$D$26,0)</f>
        <v>4</v>
      </c>
      <c r="D114" s="32">
        <f>roundup(D72/Model!$D$26,0)</f>
        <v>4</v>
      </c>
      <c r="E114" s="32">
        <f>roundup(E72/Model!$D$26,0)</f>
        <v>8</v>
      </c>
      <c r="F114" s="32">
        <f>roundup(F72/Model!$D$26,0)</f>
        <v>7</v>
      </c>
      <c r="G114" s="32">
        <f>roundup(G72/Model!$D$26,0)</f>
        <v>7</v>
      </c>
      <c r="H114" s="32">
        <f>roundup(H72/Model!$D$26,0)</f>
        <v>7</v>
      </c>
      <c r="I114" s="32">
        <f>roundup(I72/Model!$D$26,0)</f>
        <v>7</v>
      </c>
      <c r="J114" s="32">
        <f>roundup(J72/Model!$D$26,0)</f>
        <v>7</v>
      </c>
      <c r="K114" s="90">
        <f>roundup(K72/Model!$D$26,0)</f>
        <v>7</v>
      </c>
    </row>
    <row r="115">
      <c r="A115" s="1" t="str">
        <f>concat(concat("Approximate cost (",Model!$G$11), " Mdollars)")</f>
        <v>Approximate cost (2020 Mdollars)</v>
      </c>
      <c r="B115" s="40">
        <f>B114*Model!$E$26/1000000</f>
        <v>0.04</v>
      </c>
      <c r="C115" s="40">
        <f>C114*Model!$E$26/1000000</f>
        <v>0.04</v>
      </c>
      <c r="D115" s="40">
        <f>D114*Model!$E$26/1000000</f>
        <v>0.04</v>
      </c>
      <c r="E115" s="40">
        <f>E114*Model!$E$26/1000000</f>
        <v>0.08</v>
      </c>
      <c r="F115" s="40">
        <f>F114*Model!$E$26/1000000</f>
        <v>0.07</v>
      </c>
      <c r="G115" s="40">
        <f>G114*Model!$E$26/1000000</f>
        <v>0.07</v>
      </c>
      <c r="H115" s="40">
        <f>H114*Model!$E$26/1000000</f>
        <v>0.07</v>
      </c>
      <c r="I115" s="40">
        <f>I114*Model!$E$26/1000000</f>
        <v>0.07</v>
      </c>
      <c r="J115" s="40">
        <f>J114*Model!$E$26/1000000</f>
        <v>0.07</v>
      </c>
      <c r="K115" s="94">
        <f>K114*Model!$E$26/1000000</f>
        <v>0.07</v>
      </c>
    </row>
    <row r="116">
      <c r="A116" s="1"/>
      <c r="B116" s="2"/>
      <c r="C116" s="2"/>
      <c r="D116" s="2"/>
      <c r="K116" s="66"/>
    </row>
    <row r="117">
      <c r="A117" s="1" t="s">
        <v>269</v>
      </c>
      <c r="B117" s="2" t="s">
        <v>123</v>
      </c>
      <c r="C117" s="2">
        <v>11.0</v>
      </c>
      <c r="D117" s="2">
        <v>0.0</v>
      </c>
      <c r="K117" s="66"/>
    </row>
    <row r="118">
      <c r="A118" s="1" t="s">
        <v>3</v>
      </c>
      <c r="B118" s="5">
        <f t="shared" ref="B118:K118" si="78">B$3</f>
        <v>2024</v>
      </c>
      <c r="C118" s="5">
        <f t="shared" si="78"/>
        <v>2025</v>
      </c>
      <c r="D118" s="5">
        <f t="shared" si="78"/>
        <v>2026</v>
      </c>
      <c r="E118" s="5">
        <f t="shared" si="78"/>
        <v>2027</v>
      </c>
      <c r="F118" s="5">
        <f t="shared" si="78"/>
        <v>2028</v>
      </c>
      <c r="G118" s="5">
        <f t="shared" si="78"/>
        <v>2029</v>
      </c>
      <c r="H118" s="5">
        <f t="shared" si="78"/>
        <v>2030</v>
      </c>
      <c r="I118" s="5">
        <f t="shared" si="78"/>
        <v>2031</v>
      </c>
      <c r="J118" s="5">
        <f t="shared" si="78"/>
        <v>2032</v>
      </c>
      <c r="K118" s="68">
        <f t="shared" si="78"/>
        <v>2033</v>
      </c>
      <c r="L118" s="3"/>
      <c r="M118" s="3"/>
      <c r="N118" s="3"/>
      <c r="O118" s="3"/>
      <c r="P118" s="3"/>
      <c r="Q118" s="3"/>
      <c r="R118" s="3"/>
      <c r="S118" s="3"/>
      <c r="T118" s="3"/>
      <c r="U118" s="3"/>
      <c r="V118" s="3"/>
      <c r="W118" s="3"/>
      <c r="X118" s="3"/>
      <c r="Y118" s="3"/>
    </row>
    <row r="119">
      <c r="A119" s="2" t="s">
        <v>124</v>
      </c>
      <c r="B119" s="41">
        <f>roundup(B77/Model!$D$28,0)</f>
        <v>201</v>
      </c>
      <c r="C119" s="41">
        <f>roundup(C77/Model!$D$28,0)</f>
        <v>212</v>
      </c>
      <c r="D119" s="41">
        <f>roundup(D77/Model!$D$28,0)</f>
        <v>349</v>
      </c>
      <c r="E119" s="41">
        <f>roundup(E77/Model!$D$28,0)</f>
        <v>440</v>
      </c>
      <c r="F119" s="41">
        <f>roundup(F77/Model!$D$28,0)</f>
        <v>451</v>
      </c>
      <c r="G119" s="41">
        <f>roundup(G77/Model!$D$28,0)</f>
        <v>509</v>
      </c>
      <c r="H119" s="41">
        <f>roundup(H77/Model!$D$28,0)</f>
        <v>478</v>
      </c>
      <c r="I119" s="41">
        <f>roundup(I77/Model!$D$28,0)</f>
        <v>478</v>
      </c>
      <c r="J119" s="41">
        <f>roundup(J77/Model!$D$28,0)</f>
        <v>509</v>
      </c>
      <c r="K119" s="95">
        <f>roundup(K77/Model!$D$28,0)</f>
        <v>478</v>
      </c>
    </row>
    <row r="120">
      <c r="A120" s="2" t="s">
        <v>270</v>
      </c>
      <c r="B120" s="42">
        <f>B119*Model!$E$28/1000000</f>
        <v>2.613</v>
      </c>
      <c r="C120" s="42">
        <f>C119*Model!$E$28/1000000</f>
        <v>2.756</v>
      </c>
      <c r="D120" s="42">
        <f>D119*Model!$E$28/1000000</f>
        <v>4.537</v>
      </c>
      <c r="E120" s="42">
        <f>E119*Model!$E$28/1000000</f>
        <v>5.72</v>
      </c>
      <c r="F120" s="42">
        <f>F119*Model!$E$28/1000000</f>
        <v>5.863</v>
      </c>
      <c r="G120" s="42">
        <f>G119*Model!$E$28/1000000</f>
        <v>6.617</v>
      </c>
      <c r="H120" s="42">
        <f>H119*Model!$E$28/1000000</f>
        <v>6.214</v>
      </c>
      <c r="I120" s="42">
        <f>I119*Model!$E$28/1000000</f>
        <v>6.214</v>
      </c>
      <c r="J120" s="42">
        <f>J119*Model!$E$28/1000000</f>
        <v>6.617</v>
      </c>
      <c r="K120" s="70">
        <f>K119*Model!$E$28/1000000</f>
        <v>6.214</v>
      </c>
    </row>
    <row r="121">
      <c r="A121" s="2" t="s">
        <v>126</v>
      </c>
      <c r="B121" s="41">
        <f>roundup(B77/Model!$D$29,0)</f>
        <v>66</v>
      </c>
      <c r="C121" s="41">
        <f>roundup(C77/Model!$D$29,0)</f>
        <v>70</v>
      </c>
      <c r="D121" s="41">
        <f>roundup(D77/Model!$D$29,0)</f>
        <v>115</v>
      </c>
      <c r="E121" s="41">
        <f>roundup(E77/Model!$D$29,0)</f>
        <v>144</v>
      </c>
      <c r="F121" s="41">
        <f>roundup(F77/Model!$D$29,0)</f>
        <v>148</v>
      </c>
      <c r="G121" s="41">
        <f>roundup(G77/Model!$D$29,0)</f>
        <v>167</v>
      </c>
      <c r="H121" s="41">
        <f>roundup(H77/Model!$D$29,0)</f>
        <v>157</v>
      </c>
      <c r="I121" s="41">
        <f>roundup(I77/Model!$D$29,0)</f>
        <v>157</v>
      </c>
      <c r="J121" s="41">
        <f>roundup(J77/Model!$D$29,0)</f>
        <v>167</v>
      </c>
      <c r="K121" s="95">
        <f>roundup(K77/Model!$D$29,0)</f>
        <v>157</v>
      </c>
    </row>
    <row r="122">
      <c r="A122" s="1" t="s">
        <v>271</v>
      </c>
      <c r="B122" s="40">
        <f>B121*Model!$E$29/1000000</f>
        <v>0.858</v>
      </c>
      <c r="C122" s="40">
        <f>C121*Model!$E$29/1000000</f>
        <v>0.91</v>
      </c>
      <c r="D122" s="40">
        <f>D121*Model!$E$29/1000000</f>
        <v>1.495</v>
      </c>
      <c r="E122" s="40">
        <f>E121*Model!$E$29/1000000</f>
        <v>1.872</v>
      </c>
      <c r="F122" s="40">
        <f>F121*Model!$E$29/1000000</f>
        <v>1.924</v>
      </c>
      <c r="G122" s="40">
        <f>G121*Model!$E$29/1000000</f>
        <v>2.171</v>
      </c>
      <c r="H122" s="40">
        <f>H121*Model!$E$29/1000000</f>
        <v>2.041</v>
      </c>
      <c r="I122" s="40">
        <f>I121*Model!$E$29/1000000</f>
        <v>2.041</v>
      </c>
      <c r="J122" s="40">
        <f>J121*Model!$E$29/1000000</f>
        <v>2.171</v>
      </c>
      <c r="K122" s="94">
        <f>K121*Model!$E$29/1000000</f>
        <v>2.041</v>
      </c>
    </row>
    <row r="123">
      <c r="K123" s="66"/>
    </row>
    <row r="124">
      <c r="A124" s="1" t="s">
        <v>272</v>
      </c>
      <c r="B124" s="2" t="s">
        <v>273</v>
      </c>
      <c r="C124" s="2">
        <v>11.0</v>
      </c>
      <c r="D124" s="2">
        <v>0.0</v>
      </c>
      <c r="K124" s="66"/>
    </row>
    <row r="125">
      <c r="A125" s="1" t="s">
        <v>3</v>
      </c>
      <c r="B125" s="5">
        <f t="shared" ref="B125:K125" si="79">B$3</f>
        <v>2024</v>
      </c>
      <c r="C125" s="5">
        <f t="shared" si="79"/>
        <v>2025</v>
      </c>
      <c r="D125" s="5">
        <f t="shared" si="79"/>
        <v>2026</v>
      </c>
      <c r="E125" s="5">
        <f t="shared" si="79"/>
        <v>2027</v>
      </c>
      <c r="F125" s="5">
        <f t="shared" si="79"/>
        <v>2028</v>
      </c>
      <c r="G125" s="5">
        <f t="shared" si="79"/>
        <v>2029</v>
      </c>
      <c r="H125" s="5">
        <f t="shared" si="79"/>
        <v>2030</v>
      </c>
      <c r="I125" s="5">
        <f t="shared" si="79"/>
        <v>2031</v>
      </c>
      <c r="J125" s="5">
        <f t="shared" si="79"/>
        <v>2032</v>
      </c>
      <c r="K125" s="68">
        <f t="shared" si="79"/>
        <v>2033</v>
      </c>
    </row>
    <row r="126">
      <c r="A126" s="2" t="s">
        <v>274</v>
      </c>
      <c r="B126" s="32">
        <f>roundup(B62/Model!$D$29,0)</f>
        <v>62</v>
      </c>
      <c r="C126" s="32">
        <f>roundup(C62/Model!$D$29,0)</f>
        <v>66</v>
      </c>
      <c r="D126" s="32">
        <f>roundup(D62/Model!$D$29,0)</f>
        <v>98</v>
      </c>
      <c r="E126" s="32">
        <f>roundup(E62/Model!$D$29,0)</f>
        <v>135</v>
      </c>
      <c r="F126" s="32">
        <f>roundup(F62/Model!$D$29,0)</f>
        <v>139</v>
      </c>
      <c r="G126" s="32">
        <f>roundup(G62/Model!$D$29,0)</f>
        <v>147</v>
      </c>
      <c r="H126" s="32">
        <f>roundup(H62/Model!$D$29,0)</f>
        <v>147</v>
      </c>
      <c r="I126" s="32">
        <f>roundup(I62/Model!$D$29,0)</f>
        <v>147</v>
      </c>
      <c r="J126" s="32">
        <f>roundup(J62/Model!$D$29,0)</f>
        <v>147</v>
      </c>
      <c r="K126" s="32">
        <f>roundup(K62/Model!$D$29,0)</f>
        <v>147</v>
      </c>
    </row>
    <row r="127">
      <c r="A127" s="1" t="str">
        <f>concat(concat("Approximate cost (",Model!$G$11), " Mdollars) DRP")</f>
        <v>Approximate cost (2020 Mdollars) DRP</v>
      </c>
      <c r="B127" s="40">
        <f>B126*Model!$E$29/1000000</f>
        <v>0.806</v>
      </c>
      <c r="C127" s="40">
        <f>C126*Model!$E$29/1000000</f>
        <v>0.858</v>
      </c>
      <c r="D127" s="40">
        <f>D126*Model!$E$29/1000000</f>
        <v>1.274</v>
      </c>
      <c r="E127" s="40">
        <f>E126*Model!$E$29/1000000</f>
        <v>1.755</v>
      </c>
      <c r="F127" s="40">
        <f>F126*Model!$E$29/1000000</f>
        <v>1.807</v>
      </c>
      <c r="G127" s="40">
        <f>G126*Model!$E$29/1000000</f>
        <v>1.911</v>
      </c>
      <c r="H127" s="40">
        <f>H126*Model!$E$29/1000000</f>
        <v>1.911</v>
      </c>
      <c r="I127" s="40">
        <f>I126*Model!$E$29/1000000</f>
        <v>1.911</v>
      </c>
      <c r="J127" s="40">
        <f>J126*Model!$E$29/1000000</f>
        <v>1.911</v>
      </c>
      <c r="K127" s="40">
        <f>K126*Model!$E$29/1000000</f>
        <v>1.911</v>
      </c>
    </row>
    <row r="128">
      <c r="A128" s="2" t="s">
        <v>275</v>
      </c>
      <c r="B128" s="96">
        <f>roundup(B68/Model!$D$29,0)</f>
        <v>4</v>
      </c>
      <c r="C128" s="96">
        <f>roundup(C68/Model!$D$29,0)</f>
        <v>4</v>
      </c>
      <c r="D128" s="96">
        <f>roundup(D68/Model!$D$29,0)</f>
        <v>6</v>
      </c>
      <c r="E128" s="96">
        <f>roundup(E68/Model!$D$29,0)</f>
        <v>8</v>
      </c>
      <c r="F128" s="96">
        <f>roundup(F68/Model!$D$29,0)</f>
        <v>8</v>
      </c>
      <c r="G128" s="96">
        <f>roundup(G68/Model!$D$29,0)</f>
        <v>9</v>
      </c>
      <c r="H128" s="96">
        <f>roundup(H68/Model!$D$29,0)</f>
        <v>9</v>
      </c>
      <c r="I128" s="96">
        <f>roundup(I68/Model!$D$29,0)</f>
        <v>9</v>
      </c>
      <c r="J128" s="96">
        <f>roundup(J68/Model!$D$29,0)</f>
        <v>9</v>
      </c>
      <c r="K128" s="96">
        <f>roundup(K68/Model!$D$29,0)</f>
        <v>9</v>
      </c>
    </row>
    <row r="129">
      <c r="A129" s="1" t="str">
        <f>concat(concat("Approximate cost (",Model!$G$11), " Mdollars) DAC")</f>
        <v>Approximate cost (2020 Mdollars) DAC</v>
      </c>
      <c r="B129" s="40">
        <f>B128*Model!$E$29/1000000</f>
        <v>0.052</v>
      </c>
      <c r="C129" s="40">
        <f>C128*Model!$E$29/1000000</f>
        <v>0.052</v>
      </c>
      <c r="D129" s="40">
        <f>D128*Model!$E$29/1000000</f>
        <v>0.078</v>
      </c>
      <c r="E129" s="40">
        <f>E128*Model!$E$29/1000000</f>
        <v>0.104</v>
      </c>
      <c r="F129" s="40">
        <f>F128*Model!$E$29/1000000</f>
        <v>0.104</v>
      </c>
      <c r="G129" s="40">
        <f>G128*Model!$E$29/1000000</f>
        <v>0.117</v>
      </c>
      <c r="H129" s="40">
        <f>H128*Model!$E$29/1000000</f>
        <v>0.117</v>
      </c>
      <c r="I129" s="40">
        <f>I128*Model!$E$29/1000000</f>
        <v>0.117</v>
      </c>
      <c r="J129" s="40">
        <f>J128*Model!$E$29/1000000</f>
        <v>0.117</v>
      </c>
      <c r="K129" s="40">
        <f>K128*Model!$E$29/1000000</f>
        <v>0.117</v>
      </c>
    </row>
    <row r="130">
      <c r="A130" s="2" t="s">
        <v>276</v>
      </c>
      <c r="B130" s="96">
        <f>roundup(B64/Model!$D$29,0)</f>
        <v>0</v>
      </c>
      <c r="C130" s="96">
        <f>roundup(C64/Model!$D$29,0)</f>
        <v>0</v>
      </c>
      <c r="D130" s="96">
        <f>roundup(D64/Model!$D$29,0)</f>
        <v>11</v>
      </c>
      <c r="E130" s="96">
        <f>roundup(E64/Model!$D$29,0)</f>
        <v>0</v>
      </c>
      <c r="F130" s="96">
        <f>roundup(F64/Model!$D$29,0)</f>
        <v>0</v>
      </c>
      <c r="G130" s="96">
        <f>roundup(G64/Model!$D$29,0)</f>
        <v>11</v>
      </c>
      <c r="H130" s="96">
        <f>roundup(H64/Model!$D$29,0)</f>
        <v>0</v>
      </c>
      <c r="I130" s="96">
        <f>roundup(I64/Model!$D$29,0)</f>
        <v>0</v>
      </c>
      <c r="J130" s="96">
        <f>roundup(J64/Model!$D$29,0)</f>
        <v>11</v>
      </c>
      <c r="K130" s="96">
        <f>roundup(K64/Model!$D$29,0)</f>
        <v>0</v>
      </c>
    </row>
    <row r="131">
      <c r="A131" s="1" t="str">
        <f>concat(concat("Approximate cost (",Model!$G$11), " Mdollars) AP")</f>
        <v>Approximate cost (2020 Mdollars) AP</v>
      </c>
      <c r="B131" s="40">
        <f>B130*Model!$E$29/1000000</f>
        <v>0</v>
      </c>
      <c r="C131" s="40">
        <f>C130*Model!$E$29/1000000</f>
        <v>0</v>
      </c>
      <c r="D131" s="40">
        <f>D130*Model!$E$29/1000000</f>
        <v>0.143</v>
      </c>
      <c r="E131" s="40">
        <f>E130*Model!$E$29/1000000</f>
        <v>0</v>
      </c>
      <c r="F131" s="40">
        <f>F130*Model!$E$29/1000000</f>
        <v>0</v>
      </c>
      <c r="G131" s="40">
        <f>G130*Model!$E$29/1000000</f>
        <v>0.143</v>
      </c>
      <c r="H131" s="40">
        <f>H130*Model!$E$29/1000000</f>
        <v>0</v>
      </c>
      <c r="I131" s="40">
        <f>I130*Model!$E$29/1000000</f>
        <v>0</v>
      </c>
      <c r="J131" s="40">
        <f>J130*Model!$E$29/1000000</f>
        <v>0.143</v>
      </c>
      <c r="K131" s="40">
        <f>K130*Model!$E$29/1000000</f>
        <v>0</v>
      </c>
    </row>
    <row r="132">
      <c r="K132" s="66"/>
    </row>
    <row r="133">
      <c r="A133" s="1" t="s">
        <v>277</v>
      </c>
      <c r="B133" s="2" t="s">
        <v>278</v>
      </c>
      <c r="C133" s="2">
        <v>11.0</v>
      </c>
      <c r="D133" s="2">
        <v>0.0</v>
      </c>
      <c r="K133" s="66"/>
    </row>
    <row r="134">
      <c r="A134" s="1" t="s">
        <v>3</v>
      </c>
      <c r="B134" s="5">
        <f t="shared" ref="B134:K134" si="80">B$3</f>
        <v>2024</v>
      </c>
      <c r="C134" s="5">
        <f t="shared" si="80"/>
        <v>2025</v>
      </c>
      <c r="D134" s="5">
        <f t="shared" si="80"/>
        <v>2026</v>
      </c>
      <c r="E134" s="5">
        <f t="shared" si="80"/>
        <v>2027</v>
      </c>
      <c r="F134" s="5">
        <f t="shared" si="80"/>
        <v>2028</v>
      </c>
      <c r="G134" s="5">
        <f t="shared" si="80"/>
        <v>2029</v>
      </c>
      <c r="H134" s="5">
        <f t="shared" si="80"/>
        <v>2030</v>
      </c>
      <c r="I134" s="5">
        <f t="shared" si="80"/>
        <v>2031</v>
      </c>
      <c r="J134" s="5">
        <f t="shared" si="80"/>
        <v>2032</v>
      </c>
      <c r="K134" s="68">
        <f t="shared" si="80"/>
        <v>2033</v>
      </c>
    </row>
    <row r="135">
      <c r="A135" s="2" t="s">
        <v>279</v>
      </c>
      <c r="B135" s="32">
        <f>roundup(B72/Model!$D$29,0)*3</f>
        <v>3</v>
      </c>
      <c r="C135" s="32">
        <f>roundup(C72/Model!$D$29,0)*3</f>
        <v>3</v>
      </c>
      <c r="D135" s="32">
        <f>roundup(D72/Model!$D$29,0)*3</f>
        <v>3</v>
      </c>
      <c r="E135" s="32">
        <f>roundup(E72/Model!$D$29,0)*3</f>
        <v>6</v>
      </c>
      <c r="F135" s="32">
        <f>roundup(F72/Model!$D$29,0)*3</f>
        <v>6</v>
      </c>
      <c r="G135" s="32">
        <f>roundup(G72/Model!$D$29,0)*3</f>
        <v>6</v>
      </c>
      <c r="H135" s="32">
        <f>roundup(H72/Model!$D$29,0)*3</f>
        <v>6</v>
      </c>
      <c r="I135" s="32">
        <f>roundup(I72/Model!$D$29,0)*3</f>
        <v>6</v>
      </c>
      <c r="J135" s="32">
        <f>roundup(J72/Model!$D$29,0)*3</f>
        <v>6</v>
      </c>
      <c r="K135" s="32">
        <f>roundup(K72/Model!$D$29,0)*3</f>
        <v>6</v>
      </c>
      <c r="L135" s="2" t="s">
        <v>280</v>
      </c>
    </row>
    <row r="136">
      <c r="A136" s="1" t="str">
        <f>concat(concat("Approximate cost (",Model!$G$11), " Mdollars)")</f>
        <v>Approximate cost (2020 Mdollars)</v>
      </c>
      <c r="B136" s="40">
        <f>B135*Model!$E$29/1000000</f>
        <v>0.039</v>
      </c>
      <c r="C136" s="40">
        <f>C135*Model!$E$29/1000000</f>
        <v>0.039</v>
      </c>
      <c r="D136" s="40">
        <f>D135*Model!$E$29/1000000</f>
        <v>0.039</v>
      </c>
      <c r="E136" s="40">
        <f>E135*Model!$E$29/1000000</f>
        <v>0.078</v>
      </c>
      <c r="F136" s="40">
        <f>F135*Model!$E$29/1000000</f>
        <v>0.078</v>
      </c>
      <c r="G136" s="40">
        <f>G135*Model!$E$29/1000000</f>
        <v>0.078</v>
      </c>
      <c r="H136" s="40">
        <f>H135*Model!$E$29/1000000</f>
        <v>0.078</v>
      </c>
      <c r="I136" s="40">
        <f>I135*Model!$E$29/1000000</f>
        <v>0.078</v>
      </c>
      <c r="J136" s="40">
        <f>J135*Model!$E$29/1000000</f>
        <v>0.078</v>
      </c>
      <c r="K136" s="40">
        <f>K135*Model!$E$29/1000000</f>
        <v>0.078</v>
      </c>
    </row>
    <row r="137">
      <c r="K137" s="66"/>
    </row>
    <row r="138">
      <c r="K138" s="66"/>
    </row>
    <row r="139">
      <c r="A139" s="1" t="s">
        <v>281</v>
      </c>
      <c r="B139" s="2" t="s">
        <v>282</v>
      </c>
      <c r="C139" s="2">
        <v>11.0</v>
      </c>
      <c r="D139" s="2">
        <v>0.0</v>
      </c>
      <c r="K139" s="66"/>
    </row>
    <row r="140">
      <c r="A140" s="1" t="s">
        <v>283</v>
      </c>
      <c r="B140" s="5">
        <f t="shared" ref="B140:K140" si="81">B$3</f>
        <v>2024</v>
      </c>
      <c r="C140" s="5">
        <f t="shared" si="81"/>
        <v>2025</v>
      </c>
      <c r="D140" s="5">
        <f t="shared" si="81"/>
        <v>2026</v>
      </c>
      <c r="E140" s="5">
        <f t="shared" si="81"/>
        <v>2027</v>
      </c>
      <c r="F140" s="5">
        <f t="shared" si="81"/>
        <v>2028</v>
      </c>
      <c r="G140" s="5">
        <f t="shared" si="81"/>
        <v>2029</v>
      </c>
      <c r="H140" s="5">
        <f t="shared" si="81"/>
        <v>2030</v>
      </c>
      <c r="I140" s="5">
        <f t="shared" si="81"/>
        <v>2031</v>
      </c>
      <c r="J140" s="5">
        <f t="shared" si="81"/>
        <v>2032</v>
      </c>
      <c r="K140" s="68">
        <f t="shared" si="81"/>
        <v>2033</v>
      </c>
      <c r="L140" s="3"/>
      <c r="M140" s="3"/>
      <c r="N140" s="3"/>
      <c r="O140" s="3"/>
      <c r="P140" s="3"/>
      <c r="Q140" s="3"/>
      <c r="R140" s="3"/>
      <c r="S140" s="3"/>
      <c r="T140" s="3"/>
      <c r="U140" s="3"/>
      <c r="V140" s="3"/>
      <c r="W140" s="3"/>
      <c r="X140" s="3"/>
      <c r="Y140" s="3"/>
    </row>
    <row r="141">
      <c r="A141" s="2" t="s">
        <v>130</v>
      </c>
      <c r="B141" s="42">
        <f>(B81+B95)*Model!$B$35/1000000</f>
        <v>0.169368</v>
      </c>
      <c r="C141" s="42">
        <f>(C81+C95)*Model!$B$35/1000000</f>
        <v>0.132939</v>
      </c>
      <c r="D141" s="42">
        <f>(D81+D95)*Model!$B$35/1000000</f>
        <v>0.16099408</v>
      </c>
      <c r="E141" s="42">
        <f>(E81+E95)*Model!$B$35/1000000</f>
        <v>0.10165832</v>
      </c>
      <c r="F141" s="42">
        <f>(F81+F95)*Model!$B$35/1000000</f>
        <v>0.09435796</v>
      </c>
      <c r="G141" s="42">
        <f>(G81+G95)*Model!$B$35/1000000</f>
        <v>0.25183256</v>
      </c>
      <c r="H141" s="42">
        <f>(H81+H95)*Model!$B$35/1000000</f>
        <v>0.21391876</v>
      </c>
      <c r="I141" s="42">
        <f>(I81+I95)*Model!$B$35/1000000</f>
        <v>0.24153644</v>
      </c>
      <c r="J141" s="42">
        <f>(J81+J95)*Model!$B$35/1000000</f>
        <v>0.18147712</v>
      </c>
      <c r="K141" s="70">
        <f>(K81+K95)*Model!$B$35/1000000</f>
        <v>0.16264316</v>
      </c>
    </row>
    <row r="142">
      <c r="A142" s="2" t="s">
        <v>132</v>
      </c>
      <c r="B142" s="42">
        <f>B85*Model!$B$36/1000000</f>
        <v>1.221576679</v>
      </c>
      <c r="C142" s="42">
        <f>C85*Model!$B$36/1000000</f>
        <v>1.086911598</v>
      </c>
      <c r="D142" s="42">
        <f>D85*Model!$B$36/1000000</f>
        <v>1.251489403</v>
      </c>
      <c r="E142" s="42">
        <f>E85*Model!$B$36/1000000</f>
        <v>1.246199722</v>
      </c>
      <c r="F142" s="42">
        <f>F85*Model!$B$36/1000000</f>
        <v>1.449452661</v>
      </c>
      <c r="G142" s="42">
        <f>G85*Model!$B$36/1000000</f>
        <v>2.462120815</v>
      </c>
      <c r="H142" s="42">
        <f>H85*Model!$B$36/1000000</f>
        <v>2.33824592</v>
      </c>
      <c r="I142" s="42">
        <f>I85*Model!$B$36/1000000</f>
        <v>2.51282742</v>
      </c>
      <c r="J142" s="42">
        <f>J85*Model!$B$36/1000000</f>
        <v>2.514083337</v>
      </c>
      <c r="K142" s="70">
        <f>K85*Model!$B$36/1000000</f>
        <v>2.510961057</v>
      </c>
    </row>
    <row r="143">
      <c r="A143" s="2" t="s">
        <v>133</v>
      </c>
      <c r="B143" s="42">
        <f>(B89+B99)*Model!$B$37/1000000</f>
        <v>1.658177277</v>
      </c>
      <c r="C143" s="42">
        <f>(C89+C99)*Model!$B$37/1000000</f>
        <v>1.872602661</v>
      </c>
      <c r="D143" s="42">
        <f>(D89+D99)*Model!$B$37/1000000</f>
        <v>2.040011197</v>
      </c>
      <c r="E143" s="42">
        <f>(E89+E99)*Model!$B$37/1000000</f>
        <v>1.764282388</v>
      </c>
      <c r="F143" s="42">
        <f>(F89+F99)*Model!$B$37/1000000</f>
        <v>1.942924087</v>
      </c>
      <c r="G143" s="42">
        <f>(G89+G99)*Model!$B$37/1000000</f>
        <v>3.422459665</v>
      </c>
      <c r="H143" s="42">
        <f>(H89+H99)*Model!$B$37/1000000</f>
        <v>3.636885049</v>
      </c>
      <c r="I143" s="42">
        <f>(I89+I99)*Model!$B$37/1000000</f>
        <v>3.804293585</v>
      </c>
      <c r="J143" s="42">
        <f>(J89+J99)*Model!$B$37/1000000</f>
        <v>3.528564777</v>
      </c>
      <c r="K143" s="70">
        <f>(K89+K99)*Model!$B$37/1000000</f>
        <v>3.528494777</v>
      </c>
    </row>
    <row r="144">
      <c r="A144" s="2" t="s">
        <v>135</v>
      </c>
      <c r="B144" s="42">
        <f>B91*Model!$B$38/1000000</f>
        <v>0.4265634745</v>
      </c>
      <c r="C144" s="42">
        <f>C91*Model!$B$38/1000000</f>
        <v>0.6234541862</v>
      </c>
      <c r="D144" s="42">
        <f>D91*Model!$B$38/1000000</f>
        <v>0.856778677</v>
      </c>
      <c r="E144" s="42">
        <f>E91*Model!$B$38/1000000</f>
        <v>1.087558564</v>
      </c>
      <c r="F144" s="42">
        <f>F91*Model!$B$38/1000000</f>
        <v>1.313145269</v>
      </c>
      <c r="G144" s="42">
        <f>G91*Model!$B$38/1000000</f>
        <v>1.539019418</v>
      </c>
      <c r="H144" s="42">
        <f>H91*Model!$B$38/1000000</f>
        <v>1.76529563</v>
      </c>
      <c r="I144" s="42">
        <f>I91*Model!$B$38/1000000</f>
        <v>1.991944599</v>
      </c>
      <c r="J144" s="42">
        <f>J91*Model!$B$38/1000000</f>
        <v>2.21883747</v>
      </c>
      <c r="K144" s="70">
        <f>K91*Model!$B$38/1000000</f>
        <v>2.446112181</v>
      </c>
    </row>
    <row r="145">
      <c r="A145" s="1" t="s">
        <v>284</v>
      </c>
      <c r="B145" s="40">
        <f t="shared" ref="B145:K145" si="82">sum(B141:B144)</f>
        <v>3.475685431</v>
      </c>
      <c r="C145" s="40">
        <f t="shared" si="82"/>
        <v>3.715907445</v>
      </c>
      <c r="D145" s="40">
        <f t="shared" si="82"/>
        <v>4.309273357</v>
      </c>
      <c r="E145" s="40">
        <f t="shared" si="82"/>
        <v>4.199698994</v>
      </c>
      <c r="F145" s="40">
        <f t="shared" si="82"/>
        <v>4.799879977</v>
      </c>
      <c r="G145" s="40">
        <f t="shared" si="82"/>
        <v>7.675432459</v>
      </c>
      <c r="H145" s="40">
        <f t="shared" si="82"/>
        <v>7.95434536</v>
      </c>
      <c r="I145" s="40">
        <f t="shared" si="82"/>
        <v>8.550602044</v>
      </c>
      <c r="J145" s="40">
        <f t="shared" si="82"/>
        <v>8.442962704</v>
      </c>
      <c r="K145" s="94">
        <f t="shared" si="82"/>
        <v>8.648211175</v>
      </c>
      <c r="L145" s="3"/>
      <c r="M145" s="3"/>
      <c r="N145" s="3"/>
      <c r="O145" s="3"/>
      <c r="P145" s="3"/>
      <c r="Q145" s="3"/>
      <c r="R145" s="3"/>
      <c r="S145" s="3"/>
      <c r="T145" s="3"/>
      <c r="U145" s="3"/>
      <c r="V145" s="3"/>
      <c r="W145" s="3"/>
      <c r="X145" s="3"/>
      <c r="Y145" s="3"/>
    </row>
    <row r="146">
      <c r="K146" s="66"/>
    </row>
    <row r="147">
      <c r="B147" s="44"/>
      <c r="K147" s="66"/>
    </row>
    <row r="148">
      <c r="A148" s="1" t="s">
        <v>285</v>
      </c>
      <c r="B148" s="2" t="str">
        <f>CONCAT(concat("Total storage cost estimate for operations in Chile  {\bf Note} the latent storage here is ",Model!$G$14), " of the Raw and LSSTCam Coadd image volume.")</f>
        <v>Total storage cost estimate for operations in Chile  {\bf Note} the latent storage here is 1.05 of the Raw and LSSTCam Coadd image volume.</v>
      </c>
      <c r="C148" s="2">
        <v>11.0</v>
      </c>
      <c r="D148" s="2">
        <v>0.0</v>
      </c>
      <c r="E148" s="3"/>
      <c r="F148" s="3"/>
      <c r="G148" s="3"/>
      <c r="H148" s="3"/>
      <c r="I148" s="3"/>
      <c r="J148" s="3"/>
      <c r="K148" s="97"/>
      <c r="L148" s="3"/>
      <c r="M148" s="3"/>
      <c r="N148" s="3"/>
      <c r="O148" s="3"/>
      <c r="P148" s="3"/>
      <c r="Q148" s="3"/>
      <c r="R148" s="3"/>
      <c r="S148" s="3"/>
      <c r="T148" s="3"/>
      <c r="U148" s="3"/>
      <c r="V148" s="3"/>
      <c r="W148" s="3"/>
      <c r="X148" s="3"/>
      <c r="Y148" s="3"/>
      <c r="Z148" s="3"/>
      <c r="AA148" s="3"/>
      <c r="AB148" s="3"/>
    </row>
    <row r="149">
      <c r="A149" s="1" t="s">
        <v>283</v>
      </c>
      <c r="B149" s="5">
        <f t="shared" ref="B149:K149" si="83">B$3</f>
        <v>2024</v>
      </c>
      <c r="C149" s="5">
        <f t="shared" si="83"/>
        <v>2025</v>
      </c>
      <c r="D149" s="5">
        <f t="shared" si="83"/>
        <v>2026</v>
      </c>
      <c r="E149" s="5">
        <f t="shared" si="83"/>
        <v>2027</v>
      </c>
      <c r="F149" s="5">
        <f t="shared" si="83"/>
        <v>2028</v>
      </c>
      <c r="G149" s="5">
        <f t="shared" si="83"/>
        <v>2029</v>
      </c>
      <c r="H149" s="5">
        <f t="shared" si="83"/>
        <v>2030</v>
      </c>
      <c r="I149" s="5">
        <f t="shared" si="83"/>
        <v>2031</v>
      </c>
      <c r="J149" s="5">
        <f t="shared" si="83"/>
        <v>2032</v>
      </c>
      <c r="K149" s="68">
        <f t="shared" si="83"/>
        <v>2033</v>
      </c>
    </row>
    <row r="150">
      <c r="A150" s="2" t="s">
        <v>131</v>
      </c>
      <c r="B150" s="42">
        <f>B95*Model!$B$35/1000000</f>
        <v>0.1068</v>
      </c>
      <c r="C150" s="42">
        <f>C95*Model!$B$35/1000000</f>
        <v>0.0672</v>
      </c>
      <c r="D150" s="42">
        <f>D95*Model!$B$35/1000000</f>
        <v>0.0748</v>
      </c>
      <c r="E150" s="42">
        <f>E95*Model!$B$35/1000000</f>
        <v>0.0692</v>
      </c>
      <c r="F150" s="42">
        <f>F95*Model!$B$35/1000000</f>
        <v>0.0568</v>
      </c>
      <c r="G150" s="42">
        <f>G95*Model!$B$35/1000000</f>
        <v>0.164</v>
      </c>
      <c r="H150" s="42">
        <f>H95*Model!$B$35/1000000</f>
        <v>0.124</v>
      </c>
      <c r="I150" s="42">
        <f>I95*Model!$B$35/1000000</f>
        <v>0.1316</v>
      </c>
      <c r="J150" s="42">
        <f>J95*Model!$B$35/1000000</f>
        <v>0.1264</v>
      </c>
      <c r="K150" s="70">
        <f>K95*Model!$B$35/1000000</f>
        <v>0.1136</v>
      </c>
    </row>
    <row r="151">
      <c r="A151" s="2" t="s">
        <v>134</v>
      </c>
      <c r="B151" s="42">
        <f>(B99)*Model!$B$37/1000000</f>
        <v>0.735</v>
      </c>
      <c r="C151" s="42">
        <f>(C99)*Model!$B$37/1000000</f>
        <v>0.55237</v>
      </c>
      <c r="D151" s="42">
        <f>(D99)*Model!$B$37/1000000</f>
        <v>0.52913</v>
      </c>
      <c r="E151" s="42">
        <f>(E99)*Model!$B$37/1000000</f>
        <v>0.35399</v>
      </c>
      <c r="F151" s="42">
        <f>(F99)*Model!$B$37/1000000</f>
        <v>0.35392</v>
      </c>
      <c r="G151" s="42">
        <f>(G99)*Model!$B$37/1000000</f>
        <v>1.08899</v>
      </c>
      <c r="H151" s="42">
        <f>(H99)*Model!$B$37/1000000</f>
        <v>0.90636</v>
      </c>
      <c r="I151" s="42">
        <f>(I99)*Model!$B$37/1000000</f>
        <v>0.88312</v>
      </c>
      <c r="J151" s="42">
        <f>(J99)*Model!$B$37/1000000</f>
        <v>0.70798</v>
      </c>
      <c r="K151" s="70">
        <f>(K99)*Model!$B$37/1000000</f>
        <v>0.70791</v>
      </c>
    </row>
    <row r="152">
      <c r="A152" s="1" t="s">
        <v>284</v>
      </c>
      <c r="B152" s="40">
        <f t="shared" ref="B152:K152" si="84">sum(B150:B151)</f>
        <v>0.8418</v>
      </c>
      <c r="C152" s="40">
        <f t="shared" si="84"/>
        <v>0.61957</v>
      </c>
      <c r="D152" s="40">
        <f t="shared" si="84"/>
        <v>0.60393</v>
      </c>
      <c r="E152" s="40">
        <f t="shared" si="84"/>
        <v>0.42319</v>
      </c>
      <c r="F152" s="40">
        <f t="shared" si="84"/>
        <v>0.41072</v>
      </c>
      <c r="G152" s="40">
        <f t="shared" si="84"/>
        <v>1.25299</v>
      </c>
      <c r="H152" s="40">
        <f t="shared" si="84"/>
        <v>1.03036</v>
      </c>
      <c r="I152" s="40">
        <f t="shared" si="84"/>
        <v>1.01472</v>
      </c>
      <c r="J152" s="40">
        <f t="shared" si="84"/>
        <v>0.83438</v>
      </c>
      <c r="K152" s="94">
        <f t="shared" si="84"/>
        <v>0.82151</v>
      </c>
    </row>
    <row r="153">
      <c r="K153" s="66"/>
    </row>
    <row r="154">
      <c r="A154" s="1" t="s">
        <v>286</v>
      </c>
      <c r="B154" s="2" t="s">
        <v>287</v>
      </c>
      <c r="C154" s="2">
        <v>11.0</v>
      </c>
      <c r="D154" s="2">
        <v>0.0</v>
      </c>
      <c r="K154" s="66"/>
    </row>
    <row r="155">
      <c r="A155" s="1" t="s">
        <v>283</v>
      </c>
      <c r="B155" s="5">
        <f t="shared" ref="B155:K155" si="85">B$3</f>
        <v>2024</v>
      </c>
      <c r="C155" s="5">
        <f t="shared" si="85"/>
        <v>2025</v>
      </c>
      <c r="D155" s="5">
        <f t="shared" si="85"/>
        <v>2026</v>
      </c>
      <c r="E155" s="5">
        <f t="shared" si="85"/>
        <v>2027</v>
      </c>
      <c r="F155" s="5">
        <f t="shared" si="85"/>
        <v>2028</v>
      </c>
      <c r="G155" s="5">
        <f t="shared" si="85"/>
        <v>2029</v>
      </c>
      <c r="H155" s="5">
        <f t="shared" si="85"/>
        <v>2030</v>
      </c>
      <c r="I155" s="5">
        <f t="shared" si="85"/>
        <v>2031</v>
      </c>
      <c r="J155" s="5">
        <f t="shared" si="85"/>
        <v>2032</v>
      </c>
      <c r="K155" s="68">
        <f t="shared" si="85"/>
        <v>2033</v>
      </c>
    </row>
    <row r="156">
      <c r="A156" s="2" t="s">
        <v>288</v>
      </c>
      <c r="B156" s="42">
        <f>(B81)*Model!$B$35/1000000</f>
        <v>0.062568</v>
      </c>
      <c r="C156" s="42">
        <f>(C81)*Model!$B$35/1000000</f>
        <v>0.065739</v>
      </c>
      <c r="D156" s="42">
        <f>(D81)*Model!$B$35/1000000</f>
        <v>0.08619408</v>
      </c>
      <c r="E156" s="42">
        <f>(E81)*Model!$B$35/1000000</f>
        <v>0.03245832</v>
      </c>
      <c r="F156" s="42">
        <f>(F81)*Model!$B$35/1000000</f>
        <v>0.03755796</v>
      </c>
      <c r="G156" s="42">
        <f>(G81)*Model!$B$35/1000000</f>
        <v>0.08783256</v>
      </c>
      <c r="H156" s="42">
        <f>(H81)*Model!$B$35/1000000</f>
        <v>0.08991876</v>
      </c>
      <c r="I156" s="42">
        <f>(I81)*Model!$B$35/1000000</f>
        <v>0.10993644</v>
      </c>
      <c r="J156" s="42">
        <f>(J81)*Model!$B$35/1000000</f>
        <v>0.05507712</v>
      </c>
      <c r="K156" s="70">
        <f>(K81)*Model!$B$35/1000000</f>
        <v>0.04904316</v>
      </c>
    </row>
    <row r="157">
      <c r="A157" s="2" t="s">
        <v>289</v>
      </c>
      <c r="B157" s="42">
        <f>B85*Model!$B$36/1000000</f>
        <v>1.221576679</v>
      </c>
      <c r="C157" s="42">
        <f>C85*Model!$B$36/1000000</f>
        <v>1.086911598</v>
      </c>
      <c r="D157" s="42">
        <f>D85*Model!$B$36/1000000</f>
        <v>1.251489403</v>
      </c>
      <c r="E157" s="42">
        <f>E85*Model!$B$36/1000000</f>
        <v>1.246199722</v>
      </c>
      <c r="F157" s="42">
        <f>F85*Model!$B$36/1000000</f>
        <v>1.449452661</v>
      </c>
      <c r="G157" s="42">
        <f>G85*Model!$B$36/1000000</f>
        <v>2.462120815</v>
      </c>
      <c r="H157" s="42">
        <f>H85*Model!$B$36/1000000</f>
        <v>2.33824592</v>
      </c>
      <c r="I157" s="42">
        <f>I85*Model!$B$36/1000000</f>
        <v>2.51282742</v>
      </c>
      <c r="J157" s="42">
        <f>J85*Model!$B$36/1000000</f>
        <v>2.514083337</v>
      </c>
      <c r="K157" s="70">
        <f>K85*Model!$B$36/1000000</f>
        <v>2.510961057</v>
      </c>
    </row>
    <row r="158">
      <c r="A158" s="2" t="s">
        <v>290</v>
      </c>
      <c r="B158" s="42">
        <f>(B89)*Model!$B$37/1000000</f>
        <v>0.9231772769</v>
      </c>
      <c r="C158" s="42">
        <f>(C89)*Model!$B$37/1000000</f>
        <v>1.320232661</v>
      </c>
      <c r="D158" s="42">
        <f>(D89)*Model!$B$37/1000000</f>
        <v>1.510881197</v>
      </c>
      <c r="E158" s="42">
        <f>(E89)*Model!$B$37/1000000</f>
        <v>1.410292388</v>
      </c>
      <c r="F158" s="42">
        <f>(F89)*Model!$B$37/1000000</f>
        <v>1.589004087</v>
      </c>
      <c r="G158" s="42">
        <f>(G89)*Model!$B$37/1000000</f>
        <v>2.333469665</v>
      </c>
      <c r="H158" s="42">
        <f>(H89)*Model!$B$37/1000000</f>
        <v>2.730525049</v>
      </c>
      <c r="I158" s="42">
        <f>(I89)*Model!$B$37/1000000</f>
        <v>2.921173585</v>
      </c>
      <c r="J158" s="42">
        <f>(J89)*Model!$B$37/1000000</f>
        <v>2.820584777</v>
      </c>
      <c r="K158" s="70">
        <f>(K89)*Model!$B$37/1000000</f>
        <v>2.820584777</v>
      </c>
    </row>
    <row r="159">
      <c r="A159" s="2" t="s">
        <v>291</v>
      </c>
      <c r="B159" s="42">
        <f>B91*Model!$B$38/1000000</f>
        <v>0.4265634745</v>
      </c>
      <c r="C159" s="42">
        <f>C91*Model!$B$38/1000000</f>
        <v>0.6234541862</v>
      </c>
      <c r="D159" s="42">
        <f>D91*Model!$B$38/1000000</f>
        <v>0.856778677</v>
      </c>
      <c r="E159" s="42">
        <f>E91*Model!$B$38/1000000</f>
        <v>1.087558564</v>
      </c>
      <c r="F159" s="42">
        <f>F91*Model!$B$38/1000000</f>
        <v>1.313145269</v>
      </c>
      <c r="G159" s="42">
        <f>G91*Model!$B$38/1000000</f>
        <v>1.539019418</v>
      </c>
      <c r="H159" s="42">
        <f>H91*Model!$B$38/1000000</f>
        <v>1.76529563</v>
      </c>
      <c r="I159" s="42">
        <f>I91*Model!$B$38/1000000</f>
        <v>1.991944599</v>
      </c>
      <c r="J159" s="42">
        <f>J91*Model!$B$38/1000000</f>
        <v>2.21883747</v>
      </c>
      <c r="K159" s="70">
        <f>K91*Model!$B$38/1000000</f>
        <v>2.446112181</v>
      </c>
    </row>
    <row r="160">
      <c r="A160" s="1" t="s">
        <v>284</v>
      </c>
      <c r="B160" s="40">
        <f t="shared" ref="B160:K160" si="86">sum(B156:B159)</f>
        <v>2.633885431</v>
      </c>
      <c r="C160" s="40">
        <f t="shared" si="86"/>
        <v>3.096337445</v>
      </c>
      <c r="D160" s="40">
        <f t="shared" si="86"/>
        <v>3.705343357</v>
      </c>
      <c r="E160" s="40">
        <f t="shared" si="86"/>
        <v>3.776508994</v>
      </c>
      <c r="F160" s="40">
        <f t="shared" si="86"/>
        <v>4.389159977</v>
      </c>
      <c r="G160" s="40">
        <f t="shared" si="86"/>
        <v>6.422442459</v>
      </c>
      <c r="H160" s="40">
        <f t="shared" si="86"/>
        <v>6.92398536</v>
      </c>
      <c r="I160" s="40">
        <f t="shared" si="86"/>
        <v>7.535882044</v>
      </c>
      <c r="J160" s="40">
        <f t="shared" si="86"/>
        <v>7.608582704</v>
      </c>
      <c r="K160" s="94">
        <f t="shared" si="86"/>
        <v>7.826701175</v>
      </c>
    </row>
    <row r="161">
      <c r="K161" s="66"/>
    </row>
    <row r="162">
      <c r="A162" s="2" t="s">
        <v>292</v>
      </c>
      <c r="B162" s="44" t="s">
        <v>293</v>
      </c>
      <c r="C162" s="2">
        <v>11.0</v>
      </c>
      <c r="D162" s="2">
        <v>0.0</v>
      </c>
      <c r="K162" s="66"/>
    </row>
    <row r="163">
      <c r="A163" s="1" t="s">
        <v>3</v>
      </c>
      <c r="B163" s="5">
        <f t="shared" ref="B163:K163" si="87">B$3</f>
        <v>2024</v>
      </c>
      <c r="C163" s="5">
        <f t="shared" si="87"/>
        <v>2025</v>
      </c>
      <c r="D163" s="5">
        <f t="shared" si="87"/>
        <v>2026</v>
      </c>
      <c r="E163" s="5">
        <f t="shared" si="87"/>
        <v>2027</v>
      </c>
      <c r="F163" s="5">
        <f t="shared" si="87"/>
        <v>2028</v>
      </c>
      <c r="G163" s="5">
        <f t="shared" si="87"/>
        <v>2029</v>
      </c>
      <c r="H163" s="5">
        <f t="shared" si="87"/>
        <v>2030</v>
      </c>
      <c r="I163" s="5">
        <f t="shared" si="87"/>
        <v>2031</v>
      </c>
      <c r="J163" s="5">
        <f t="shared" si="87"/>
        <v>2032</v>
      </c>
      <c r="K163" s="68">
        <f t="shared" si="87"/>
        <v>2033</v>
      </c>
      <c r="L163" s="3"/>
      <c r="M163" s="3"/>
      <c r="N163" s="3"/>
      <c r="O163" s="3"/>
      <c r="P163" s="3"/>
      <c r="Q163" s="3"/>
      <c r="R163" s="3"/>
      <c r="S163" s="3"/>
      <c r="T163" s="3"/>
      <c r="U163" s="3"/>
      <c r="V163" s="3"/>
      <c r="W163" s="3"/>
      <c r="X163" s="3"/>
      <c r="Y163" s="3"/>
    </row>
    <row r="164">
      <c r="A164" s="2" t="s">
        <v>139</v>
      </c>
      <c r="B164" s="45">
        <f t="shared" ref="B164:K164" si="88">B60+B66</f>
        <v>7520.951589</v>
      </c>
      <c r="C164" s="45">
        <f t="shared" si="88"/>
        <v>7958.465948</v>
      </c>
      <c r="D164" s="45">
        <f t="shared" si="88"/>
        <v>8978.500347</v>
      </c>
      <c r="E164" s="45">
        <f t="shared" si="88"/>
        <v>8978.500347</v>
      </c>
      <c r="F164" s="45">
        <f t="shared" si="88"/>
        <v>8978.500347</v>
      </c>
      <c r="G164" s="45">
        <f t="shared" si="88"/>
        <v>8978.500347</v>
      </c>
      <c r="H164" s="45">
        <f t="shared" si="88"/>
        <v>8978.500347</v>
      </c>
      <c r="I164" s="45">
        <f t="shared" si="88"/>
        <v>8978.500347</v>
      </c>
      <c r="J164" s="45">
        <f t="shared" si="88"/>
        <v>8978.500347</v>
      </c>
      <c r="K164" s="98">
        <f t="shared" si="88"/>
        <v>8978.500347</v>
      </c>
    </row>
    <row r="165">
      <c r="A165" s="2" t="s">
        <v>140</v>
      </c>
      <c r="B165" s="33">
        <f>Model!E107</f>
        <v>22168.24191</v>
      </c>
      <c r="C165" s="32">
        <f t="shared" ref="C165:K165" si="89">B165+C164</f>
        <v>30126.70785</v>
      </c>
      <c r="D165" s="32">
        <f t="shared" si="89"/>
        <v>39105.2082</v>
      </c>
      <c r="E165" s="32">
        <f t="shared" si="89"/>
        <v>48083.70855</v>
      </c>
      <c r="F165" s="32">
        <f t="shared" si="89"/>
        <v>57062.20889</v>
      </c>
      <c r="G165" s="32">
        <f t="shared" si="89"/>
        <v>66040.70924</v>
      </c>
      <c r="H165" s="32">
        <f t="shared" si="89"/>
        <v>75019.20959</v>
      </c>
      <c r="I165" s="32">
        <f t="shared" si="89"/>
        <v>83997.70994</v>
      </c>
      <c r="J165" s="32">
        <f t="shared" si="89"/>
        <v>92976.21028</v>
      </c>
      <c r="K165" s="90">
        <f t="shared" si="89"/>
        <v>101954.7106</v>
      </c>
    </row>
    <row r="166">
      <c r="A166" s="2" t="s">
        <v>141</v>
      </c>
      <c r="B166" s="45">
        <f>CEILING(B165/Model!$B$26,1)+B73</f>
        <v>788</v>
      </c>
      <c r="C166" s="45">
        <f>CEILING(C165/Model!$B$26,1)+C73</f>
        <v>1158</v>
      </c>
      <c r="D166" s="45">
        <f>CEILING(D165/Model!$B$26,1)+D73</f>
        <v>1532</v>
      </c>
      <c r="E166" s="45">
        <f>CEILING(E165/Model!$B$26,1)+E73</f>
        <v>1851</v>
      </c>
      <c r="F166" s="45">
        <f>CEILING(F165/Model!$B$26,1)+F73</f>
        <v>2148</v>
      </c>
      <c r="G166" s="45">
        <f>CEILING(G165/Model!$B$26,1)+G73</f>
        <v>2515</v>
      </c>
      <c r="H166" s="45">
        <f>CEILING(H165/Model!$B$26,1)+H73</f>
        <v>2781</v>
      </c>
      <c r="I166" s="45">
        <f>CEILING(I165/Model!$B$26,1)+I73</f>
        <v>3033</v>
      </c>
      <c r="J166" s="45">
        <f>CEILING(J165/Model!$B$26,1)+J73</f>
        <v>3273</v>
      </c>
      <c r="K166" s="98">
        <f>CEILING(K165/Model!$B$26,1)+K73</f>
        <v>3605</v>
      </c>
    </row>
    <row r="167">
      <c r="A167" s="2" t="s">
        <v>294</v>
      </c>
      <c r="B167" s="46">
        <f>B166*Model!$B$123</f>
        <v>445839.5542</v>
      </c>
      <c r="C167" s="46">
        <f>C166*Model!$B$123</f>
        <v>655180.4616</v>
      </c>
      <c r="D167" s="46">
        <f>D166*Model!$B$123</f>
        <v>866784.5139</v>
      </c>
      <c r="E167" s="46">
        <f>E166*Model!$B$123</f>
        <v>1047270.323</v>
      </c>
      <c r="F167" s="46">
        <f>F166*Model!$B$123</f>
        <v>1215308.835</v>
      </c>
      <c r="G167" s="46">
        <f>G166*Model!$B$123</f>
        <v>1422952.384</v>
      </c>
      <c r="H167" s="46">
        <f>H166*Model!$B$123</f>
        <v>1573451.523</v>
      </c>
      <c r="I167" s="46">
        <f>I166*Model!$B$123</f>
        <v>1716029.654</v>
      </c>
      <c r="J167" s="46">
        <f>J166*Model!$B$123</f>
        <v>1851818.351</v>
      </c>
      <c r="K167" s="99">
        <f>K166*Model!$B$123</f>
        <v>2039659.382</v>
      </c>
    </row>
    <row r="168">
      <c r="A168" s="2" t="s">
        <v>143</v>
      </c>
      <c r="B168" s="45">
        <f>ceiling(B164/Model!$B$26,1)+B74</f>
        <v>317</v>
      </c>
      <c r="C168" s="45">
        <f>ceiling(C164/Model!$B$26,1)+C74</f>
        <v>370</v>
      </c>
      <c r="D168" s="45">
        <f>ceiling(D164/Model!$B$26,1)+D74</f>
        <v>374</v>
      </c>
      <c r="E168" s="45">
        <f>ceiling(E164/Model!$B$26,1)+E74</f>
        <v>401</v>
      </c>
      <c r="F168" s="45">
        <f>ceiling(F164/Model!$B$26,1)+F74</f>
        <v>418</v>
      </c>
      <c r="G168" s="45">
        <f>ceiling(G164/Model!$B$26,1)+G74</f>
        <v>461</v>
      </c>
      <c r="H168" s="45">
        <f>ceiling(H164/Model!$B$26,1)+H74</f>
        <v>386</v>
      </c>
      <c r="I168" s="45">
        <f>ceiling(I164/Model!$B$26,1)+I74</f>
        <v>390</v>
      </c>
      <c r="J168" s="45">
        <f>ceiling(J164/Model!$B$26,1)+J74</f>
        <v>420</v>
      </c>
      <c r="K168" s="98">
        <f>ceiling(K164/Model!$B$26,1)+K74</f>
        <v>437</v>
      </c>
    </row>
    <row r="169">
      <c r="A169" s="2" t="s">
        <v>144</v>
      </c>
      <c r="B169" s="44">
        <f>ceiling(B168/Model!$B$117,1)</f>
        <v>9</v>
      </c>
      <c r="C169" s="44">
        <f>ceiling(C168/Model!$B$117,1)</f>
        <v>11</v>
      </c>
      <c r="D169" s="44">
        <f>ceiling(D168/Model!$B$117,1)</f>
        <v>11</v>
      </c>
      <c r="E169" s="44">
        <f>ceiling(E168/Model!$B$117,1)</f>
        <v>12</v>
      </c>
      <c r="F169" s="44">
        <f>ceiling(F168/Model!$B$117,1)</f>
        <v>12</v>
      </c>
      <c r="G169" s="44">
        <f>ceiling(G168/Model!$B$117,1)</f>
        <v>13</v>
      </c>
      <c r="H169" s="44">
        <f>ceiling(H168/Model!$B$117,1)</f>
        <v>11</v>
      </c>
      <c r="I169" s="44">
        <f>ceiling(I168/Model!$B$117,1)</f>
        <v>11</v>
      </c>
      <c r="J169" s="44">
        <f>ceiling(J168/Model!$B$117,1)</f>
        <v>12</v>
      </c>
      <c r="K169" s="100">
        <f>ceiling(K168/Model!$B$117,1)</f>
        <v>13</v>
      </c>
    </row>
    <row r="170">
      <c r="A170" s="2" t="s">
        <v>145</v>
      </c>
      <c r="B170" s="46">
        <f>B169*Model!$B$118</f>
        <v>216000</v>
      </c>
      <c r="C170" s="46">
        <f>C169*Model!$B$118</f>
        <v>264000</v>
      </c>
      <c r="D170" s="46">
        <f>D169*Model!$B$118</f>
        <v>264000</v>
      </c>
      <c r="E170" s="46">
        <f>E169*Model!$B$118</f>
        <v>288000</v>
      </c>
      <c r="F170" s="46">
        <f>F169*Model!$B$118</f>
        <v>288000</v>
      </c>
      <c r="G170" s="46">
        <f>G169*Model!$B$118</f>
        <v>312000</v>
      </c>
      <c r="H170" s="46">
        <f>H169*Model!$B$118</f>
        <v>264000</v>
      </c>
      <c r="I170" s="46">
        <f>I169*Model!$B$118</f>
        <v>264000</v>
      </c>
      <c r="J170" s="46">
        <f>J169*Model!$B$118</f>
        <v>288000</v>
      </c>
      <c r="K170" s="99">
        <f>K169*Model!$B$118</f>
        <v>312000</v>
      </c>
    </row>
    <row r="171">
      <c r="A171" s="1" t="s">
        <v>295</v>
      </c>
      <c r="B171" s="101">
        <f t="shared" ref="B171:K171" si="90">B170+B167</f>
        <v>661839.5542</v>
      </c>
      <c r="C171" s="101">
        <f t="shared" si="90"/>
        <v>919180.4616</v>
      </c>
      <c r="D171" s="101">
        <f t="shared" si="90"/>
        <v>1130784.514</v>
      </c>
      <c r="E171" s="101">
        <f t="shared" si="90"/>
        <v>1335270.323</v>
      </c>
      <c r="F171" s="101">
        <f t="shared" si="90"/>
        <v>1503308.835</v>
      </c>
      <c r="G171" s="101">
        <f t="shared" si="90"/>
        <v>1734952.384</v>
      </c>
      <c r="H171" s="101">
        <f t="shared" si="90"/>
        <v>1837451.523</v>
      </c>
      <c r="I171" s="101">
        <f t="shared" si="90"/>
        <v>1980029.654</v>
      </c>
      <c r="J171" s="101">
        <f t="shared" si="90"/>
        <v>2139818.351</v>
      </c>
      <c r="K171" s="102">
        <f t="shared" si="90"/>
        <v>2351659.382</v>
      </c>
      <c r="L171" s="3"/>
      <c r="M171" s="3"/>
      <c r="N171" s="3"/>
      <c r="O171" s="3"/>
      <c r="P171" s="3"/>
      <c r="Q171" s="3"/>
      <c r="R171" s="3"/>
      <c r="S171" s="3"/>
      <c r="T171" s="3"/>
      <c r="U171" s="3"/>
      <c r="V171" s="3"/>
      <c r="W171" s="3"/>
      <c r="X171" s="3"/>
      <c r="Y171" s="3"/>
    </row>
    <row r="172">
      <c r="K172" s="66"/>
    </row>
    <row r="173">
      <c r="A173" s="2" t="s">
        <v>296</v>
      </c>
      <c r="B173" s="44" t="s">
        <v>297</v>
      </c>
      <c r="C173" s="2">
        <v>11.0</v>
      </c>
      <c r="D173" s="2">
        <v>0.0</v>
      </c>
      <c r="K173" s="66"/>
    </row>
    <row r="174">
      <c r="A174" s="1" t="s">
        <v>3</v>
      </c>
      <c r="B174" s="5">
        <f t="shared" ref="B174:L174" si="91">B$3</f>
        <v>2024</v>
      </c>
      <c r="C174" s="5">
        <f t="shared" si="91"/>
        <v>2025</v>
      </c>
      <c r="D174" s="5">
        <f t="shared" si="91"/>
        <v>2026</v>
      </c>
      <c r="E174" s="5">
        <f t="shared" si="91"/>
        <v>2027</v>
      </c>
      <c r="F174" s="5">
        <f t="shared" si="91"/>
        <v>2028</v>
      </c>
      <c r="G174" s="5">
        <f t="shared" si="91"/>
        <v>2029</v>
      </c>
      <c r="H174" s="5">
        <f t="shared" si="91"/>
        <v>2030</v>
      </c>
      <c r="I174" s="5">
        <f t="shared" si="91"/>
        <v>2031</v>
      </c>
      <c r="J174" s="5">
        <f t="shared" si="91"/>
        <v>2032</v>
      </c>
      <c r="K174" s="68">
        <f t="shared" si="91"/>
        <v>2033</v>
      </c>
      <c r="L174" s="68">
        <f t="shared" si="91"/>
        <v>2034</v>
      </c>
    </row>
    <row r="175">
      <c r="A175" s="2" t="s">
        <v>298</v>
      </c>
      <c r="B175" s="45">
        <f t="shared" ref="B175:K175" si="92">B70</f>
        <v>103.3440284</v>
      </c>
      <c r="C175" s="45">
        <f t="shared" si="92"/>
        <v>83.22221259</v>
      </c>
      <c r="D175" s="45">
        <f t="shared" si="92"/>
        <v>93.28312049</v>
      </c>
      <c r="E175" s="45">
        <f t="shared" si="92"/>
        <v>93.28312049</v>
      </c>
      <c r="F175" s="45">
        <f t="shared" si="92"/>
        <v>93.28312049</v>
      </c>
      <c r="G175" s="45">
        <f t="shared" si="92"/>
        <v>93.28312049</v>
      </c>
      <c r="H175" s="45">
        <f t="shared" si="92"/>
        <v>93.28312049</v>
      </c>
      <c r="I175" s="45">
        <f t="shared" si="92"/>
        <v>93.28312049</v>
      </c>
      <c r="J175" s="45">
        <f t="shared" si="92"/>
        <v>93.28312049</v>
      </c>
      <c r="K175" s="98">
        <f t="shared" si="92"/>
        <v>93.28312049</v>
      </c>
      <c r="L175" s="100">
        <v>93.0</v>
      </c>
    </row>
    <row r="176">
      <c r="A176" s="2" t="s">
        <v>299</v>
      </c>
      <c r="B176" s="33">
        <f t="shared" ref="B176:K176" si="93">B69</f>
        <v>103.3440284</v>
      </c>
      <c r="C176" s="33">
        <f t="shared" si="93"/>
        <v>186.566241</v>
      </c>
      <c r="D176" s="33">
        <f t="shared" si="93"/>
        <v>279.8493615</v>
      </c>
      <c r="E176" s="33">
        <f t="shared" si="93"/>
        <v>373.1324819</v>
      </c>
      <c r="F176" s="33">
        <f t="shared" si="93"/>
        <v>466.4156024</v>
      </c>
      <c r="G176" s="33">
        <f t="shared" si="93"/>
        <v>559.6987229</v>
      </c>
      <c r="H176" s="33">
        <f t="shared" si="93"/>
        <v>652.9818434</v>
      </c>
      <c r="I176" s="33">
        <f t="shared" si="93"/>
        <v>746.2649639</v>
      </c>
      <c r="J176" s="33">
        <f t="shared" si="93"/>
        <v>839.5480844</v>
      </c>
      <c r="K176" s="92">
        <f t="shared" si="93"/>
        <v>932.8312049</v>
      </c>
      <c r="L176" s="103">
        <v>933.0</v>
      </c>
    </row>
    <row r="177">
      <c r="A177" s="2" t="s">
        <v>300</v>
      </c>
      <c r="B177" s="44">
        <f>CEILING(B176/Model!$B$26,1)</f>
        <v>4</v>
      </c>
      <c r="C177" s="44">
        <f>CEILING(C176/Model!$B$26,1)</f>
        <v>6</v>
      </c>
      <c r="D177" s="44">
        <f>CEILING(D176/Model!$B$26,1)</f>
        <v>9</v>
      </c>
      <c r="E177" s="44">
        <f>CEILING(E176/Model!$B$26,1)</f>
        <v>12</v>
      </c>
      <c r="F177" s="44">
        <f>CEILING(F176/Model!$B$26,1)</f>
        <v>15</v>
      </c>
      <c r="G177" s="44">
        <f>CEILING(G176/Model!$B$26,1)</f>
        <v>18</v>
      </c>
      <c r="H177" s="44">
        <f>CEILING(H176/Model!$B$26,1)</f>
        <v>21</v>
      </c>
      <c r="I177" s="44">
        <f>CEILING(I176/Model!$B$26,1)</f>
        <v>24</v>
      </c>
      <c r="J177" s="44">
        <f>CEILING(J176/Model!$B$26,1)</f>
        <v>27</v>
      </c>
      <c r="K177" s="100">
        <f>CEILING(K176/Model!$B$26,1)</f>
        <v>30</v>
      </c>
      <c r="L177" s="2">
        <v>30.0</v>
      </c>
    </row>
    <row r="178">
      <c r="A178" s="2" t="s">
        <v>301</v>
      </c>
      <c r="B178" s="45">
        <f t="shared" ref="B178:K178" si="94">B75</f>
        <v>95</v>
      </c>
      <c r="C178" s="45">
        <f t="shared" si="94"/>
        <v>216</v>
      </c>
      <c r="D178" s="45">
        <f t="shared" si="94"/>
        <v>309</v>
      </c>
      <c r="E178" s="45">
        <f t="shared" si="94"/>
        <v>348</v>
      </c>
      <c r="F178" s="45">
        <f t="shared" si="94"/>
        <v>364</v>
      </c>
      <c r="G178" s="45">
        <f t="shared" si="94"/>
        <v>451</v>
      </c>
      <c r="H178" s="45">
        <f t="shared" si="94"/>
        <v>436</v>
      </c>
      <c r="I178" s="45">
        <f t="shared" si="94"/>
        <v>408</v>
      </c>
      <c r="J178" s="45">
        <f t="shared" si="94"/>
        <v>367</v>
      </c>
      <c r="K178" s="98">
        <f t="shared" si="94"/>
        <v>418</v>
      </c>
      <c r="L178" s="2">
        <v>418.0</v>
      </c>
    </row>
    <row r="179">
      <c r="A179" s="2" t="s">
        <v>302</v>
      </c>
      <c r="B179" s="32">
        <f t="shared" ref="B179:K179" si="95">B178+B177</f>
        <v>99</v>
      </c>
      <c r="C179" s="32">
        <f t="shared" si="95"/>
        <v>222</v>
      </c>
      <c r="D179" s="32">
        <f t="shared" si="95"/>
        <v>318</v>
      </c>
      <c r="E179" s="32">
        <f t="shared" si="95"/>
        <v>360</v>
      </c>
      <c r="F179" s="32">
        <f t="shared" si="95"/>
        <v>379</v>
      </c>
      <c r="G179" s="32">
        <f t="shared" si="95"/>
        <v>469</v>
      </c>
      <c r="H179" s="32">
        <f t="shared" si="95"/>
        <v>457</v>
      </c>
      <c r="I179" s="32">
        <f t="shared" si="95"/>
        <v>432</v>
      </c>
      <c r="J179" s="32">
        <f t="shared" si="95"/>
        <v>394</v>
      </c>
      <c r="K179" s="90">
        <f t="shared" si="95"/>
        <v>448</v>
      </c>
      <c r="L179" s="2">
        <v>448.0</v>
      </c>
    </row>
    <row r="180" ht="18.75" customHeight="1">
      <c r="A180" s="2" t="s">
        <v>303</v>
      </c>
      <c r="B180" s="44">
        <f>ceiling(B179/Model!$B$117,1)</f>
        <v>3</v>
      </c>
      <c r="C180" s="44">
        <f>ceiling(C179/Model!$B$117,1)</f>
        <v>7</v>
      </c>
      <c r="D180" s="44">
        <f>ceiling(D179/Model!$B$117,1)</f>
        <v>9</v>
      </c>
      <c r="E180" s="44">
        <f>ceiling(E179/Model!$B$117,1)</f>
        <v>10</v>
      </c>
      <c r="F180" s="44">
        <f>ceiling(F179/Model!$B$117,1)</f>
        <v>11</v>
      </c>
      <c r="G180" s="44">
        <f>ceiling(G179/Model!$B$117,1)</f>
        <v>14</v>
      </c>
      <c r="H180" s="44">
        <f>ceiling(H179/Model!$B$117,1)</f>
        <v>13</v>
      </c>
      <c r="I180" s="44">
        <f>ceiling(I179/Model!$B$117,1)</f>
        <v>12</v>
      </c>
      <c r="J180" s="44">
        <f>ceiling(J179/Model!$B$117,1)</f>
        <v>11</v>
      </c>
      <c r="K180" s="100">
        <f>ceiling(K179/Model!$B$117,1)</f>
        <v>13</v>
      </c>
      <c r="L180" s="2">
        <v>13.0</v>
      </c>
    </row>
    <row r="181" ht="18.75" customHeight="1">
      <c r="A181" s="2" t="s">
        <v>304</v>
      </c>
      <c r="B181" s="32">
        <f t="shared" ref="B181:K181" si="96">B92+B96</f>
        <v>10767</v>
      </c>
      <c r="C181" s="32">
        <f t="shared" si="96"/>
        <v>18826</v>
      </c>
      <c r="D181" s="32">
        <f t="shared" si="96"/>
        <v>26572</v>
      </c>
      <c r="E181" s="32">
        <f t="shared" si="96"/>
        <v>31802</v>
      </c>
      <c r="F181" s="32">
        <f t="shared" si="96"/>
        <v>37000</v>
      </c>
      <c r="G181" s="32">
        <f t="shared" si="96"/>
        <v>42200</v>
      </c>
      <c r="H181" s="32">
        <f t="shared" si="96"/>
        <v>47399</v>
      </c>
      <c r="I181" s="32">
        <f t="shared" si="96"/>
        <v>52598</v>
      </c>
      <c r="J181" s="32">
        <f t="shared" si="96"/>
        <v>57798</v>
      </c>
      <c r="K181" s="32">
        <f t="shared" si="96"/>
        <v>62997</v>
      </c>
      <c r="L181" s="2">
        <v>21704.0</v>
      </c>
    </row>
    <row r="182" ht="18.75" customHeight="1">
      <c r="A182" s="2" t="s">
        <v>305</v>
      </c>
      <c r="B182" s="26">
        <f>ceiling((B181/1000) /Model!$B$126 ,1)</f>
        <v>2</v>
      </c>
      <c r="C182" s="26">
        <f>ceiling((C181/1000) /Model!$B$126 ,1)</f>
        <v>3</v>
      </c>
      <c r="D182" s="26">
        <f>ceiling((D181/1000) /Model!$B$126 ,1)</f>
        <v>4</v>
      </c>
      <c r="E182" s="26">
        <f>ceiling((E181/1000) /Model!$B$126 ,1)</f>
        <v>4</v>
      </c>
      <c r="F182" s="26">
        <f>ceiling((F181/1000) /Model!$B$126 ,1)</f>
        <v>5</v>
      </c>
      <c r="G182" s="26">
        <f>ceiling((G181/1000) /Model!$B$126 ,1)</f>
        <v>6</v>
      </c>
      <c r="H182" s="26">
        <f>ceiling((H181/1000) /Model!$B$126 ,1)</f>
        <v>6</v>
      </c>
      <c r="I182" s="26">
        <f>ceiling((I181/1000) /Model!$B$126 ,1)</f>
        <v>7</v>
      </c>
      <c r="J182" s="26">
        <f>ceiling((J181/1000) /Model!$B$126 ,1)</f>
        <v>8</v>
      </c>
      <c r="K182" s="66">
        <f>ceiling((K181/1000) /Model!$B$126 ,1)</f>
        <v>8</v>
      </c>
      <c r="L182" s="2">
        <v>3.0</v>
      </c>
    </row>
    <row r="183" ht="18.75" customHeight="1">
      <c r="A183" s="2" t="s">
        <v>306</v>
      </c>
      <c r="B183" s="41">
        <f>(B180+B182)*Model!$B$130</f>
        <v>10</v>
      </c>
      <c r="C183" s="41">
        <f>(C180+C182)*Model!$B$130</f>
        <v>20</v>
      </c>
      <c r="D183" s="41">
        <f>(D180+D182)*Model!$B$130</f>
        <v>26</v>
      </c>
      <c r="E183" s="41">
        <f>(E180+E182)*Model!$B$130</f>
        <v>28</v>
      </c>
      <c r="F183" s="41">
        <f>(F180+F182)*Model!$B$130</f>
        <v>32</v>
      </c>
      <c r="G183" s="41">
        <f>(G180+G182)*Model!$B$130</f>
        <v>40</v>
      </c>
      <c r="H183" s="41">
        <f>(H180+H182)*Model!$B$130</f>
        <v>38</v>
      </c>
      <c r="I183" s="41">
        <f>(I180+I182)*Model!$B$130</f>
        <v>38</v>
      </c>
      <c r="J183" s="41">
        <f>(J180+J182)*Model!$B$130</f>
        <v>38</v>
      </c>
      <c r="K183" s="41">
        <f>(K180+K182)*Model!$B$130</f>
        <v>42</v>
      </c>
      <c r="L183" s="41">
        <f>(L180+L182)*Model!$B$130</f>
        <v>32</v>
      </c>
    </row>
    <row r="184" ht="18.75" customHeight="1">
      <c r="A184" s="2" t="s">
        <v>307</v>
      </c>
      <c r="B184" s="26">
        <f>(B180 + B182)*Model!$B$125/1000</f>
        <v>73</v>
      </c>
      <c r="C184" s="26">
        <f>(C180 + C182)*Model!$B$125/1000</f>
        <v>146</v>
      </c>
      <c r="D184" s="26">
        <f>(D180 + D182)*Model!$B$125/1000</f>
        <v>189.8</v>
      </c>
      <c r="E184" s="26">
        <f>(E180 + E182)*Model!$B$125/1000</f>
        <v>204.4</v>
      </c>
      <c r="F184" s="26">
        <f>(F180 + F182)*Model!$B$125/1000</f>
        <v>233.6</v>
      </c>
      <c r="G184" s="26">
        <f>(G180 + G182)*Model!$B$125/1000</f>
        <v>292</v>
      </c>
      <c r="H184" s="26">
        <f>(H180 + H182)*Model!$B$125/1000</f>
        <v>277.4</v>
      </c>
      <c r="I184" s="26">
        <f>(I180 + I182)*Model!$B$125/1000</f>
        <v>277.4</v>
      </c>
      <c r="J184" s="26">
        <f>(J180 + J182)*Model!$B$125/1000</f>
        <v>277.4</v>
      </c>
      <c r="K184" s="66">
        <f>(K180 + K182)*Model!$B$125/1000</f>
        <v>306.6</v>
      </c>
      <c r="L184" s="66">
        <f>(L180 + L182)*Model!$B$125/1000</f>
        <v>233.6</v>
      </c>
    </row>
    <row r="185">
      <c r="A185" s="2" t="s">
        <v>308</v>
      </c>
      <c r="B185" s="104">
        <f>(hlookup(B$174,$B200:$F201,2)*(B$184+B$183)*24*30*12)/Model!$G$13</f>
        <v>109790.076</v>
      </c>
      <c r="C185" s="104">
        <f>(hlookup(C$174,$B200:$F201,2)*(C$184+C$183)*24*30*12)/Model!$G$13</f>
        <v>219580.152</v>
      </c>
      <c r="D185" s="104">
        <f>(hlookup(D$174,$B200:$F201,2)*(D$184+D$183)*24*30*12)/Model!$G$13</f>
        <v>285454.1976</v>
      </c>
      <c r="E185" s="104">
        <f>(hlookup(E$174,$B200:$F201,2)*(E$184+E$183)*24*30*12)/Model!$G$13</f>
        <v>338153.4341</v>
      </c>
      <c r="F185" s="104">
        <f>(hlookup(F$174,$B200:$F201,2)*(F$184+F$183)*24*30*12)/Model!$G$13</f>
        <v>386461.0675</v>
      </c>
      <c r="G185" s="104">
        <f>(hlookup(G$174,$B200:$F201,2)*(G$184+G$183)*24*30*12)/Model!$G$13</f>
        <v>483076.3344</v>
      </c>
      <c r="H185" s="104">
        <f>(hlookup(H$174,$B200:$F201,2)*(H$184+H$183)*24*30*12)/Model!$G$13</f>
        <v>504814.7694</v>
      </c>
      <c r="I185" s="104">
        <f>(hlookup(I$174,$B200:$F201,2)*(I$184+I$183)*24*30*12)/Model!$G$13</f>
        <v>504814.7694</v>
      </c>
      <c r="J185" s="104">
        <f>(hlookup(J$174,$B200:$F201,2)*(J$184+J$183)*24*30*12)/Model!$G$13</f>
        <v>504814.7694</v>
      </c>
      <c r="K185" s="104">
        <f>(hlookup(K$174,$B200:$F201,2)*(K$184+K$183)*24*30*12)/Model!$G$13</f>
        <v>613748.4829</v>
      </c>
      <c r="L185" s="104">
        <f>(hlookup(L$174,$B200:$F201,2)*(L$184+L$183)*24*30*12)/Model!$G$13</f>
        <v>467617.8917</v>
      </c>
    </row>
    <row r="186">
      <c r="A186" s="18" t="s">
        <v>309</v>
      </c>
      <c r="B186" s="105">
        <f>$E197*B180</f>
        <v>85902</v>
      </c>
      <c r="C186" s="106">
        <f t="shared" ref="C186:J186" si="97">IF((C180-B180)&lt;=0,0,(C180-B180)*$E$197)</f>
        <v>114536</v>
      </c>
      <c r="D186" s="106">
        <f t="shared" si="97"/>
        <v>57268</v>
      </c>
      <c r="E186" s="106">
        <f t="shared" si="97"/>
        <v>28634</v>
      </c>
      <c r="F186" s="106">
        <f t="shared" si="97"/>
        <v>28634</v>
      </c>
      <c r="G186" s="106">
        <f t="shared" si="97"/>
        <v>85902</v>
      </c>
      <c r="H186" s="106">
        <f t="shared" si="97"/>
        <v>0</v>
      </c>
      <c r="I186" s="106">
        <f t="shared" si="97"/>
        <v>0</v>
      </c>
      <c r="J186" s="106">
        <f t="shared" si="97"/>
        <v>0</v>
      </c>
      <c r="K186" s="107">
        <v>0.0</v>
      </c>
      <c r="L186" s="107">
        <v>0.0</v>
      </c>
    </row>
    <row r="187">
      <c r="A187" s="18" t="s">
        <v>310</v>
      </c>
      <c r="B187" s="105">
        <f>$E197*B182</f>
        <v>57268</v>
      </c>
      <c r="C187" s="105">
        <f t="shared" ref="C187:J187" si="98">IF((C182-B182)&lt;=0,0,(C182-B182)*$E$197)</f>
        <v>28634</v>
      </c>
      <c r="D187" s="105">
        <f t="shared" si="98"/>
        <v>28634</v>
      </c>
      <c r="E187" s="105">
        <f t="shared" si="98"/>
        <v>0</v>
      </c>
      <c r="F187" s="105">
        <f t="shared" si="98"/>
        <v>28634</v>
      </c>
      <c r="G187" s="105">
        <f t="shared" si="98"/>
        <v>28634</v>
      </c>
      <c r="H187" s="105">
        <f t="shared" si="98"/>
        <v>0</v>
      </c>
      <c r="I187" s="105">
        <f t="shared" si="98"/>
        <v>28634</v>
      </c>
      <c r="J187" s="105">
        <f t="shared" si="98"/>
        <v>28634</v>
      </c>
      <c r="K187" s="107">
        <v>0.0</v>
      </c>
      <c r="L187" s="107">
        <v>0.0</v>
      </c>
    </row>
    <row r="188">
      <c r="A188" s="67" t="s">
        <v>311</v>
      </c>
      <c r="B188" s="108">
        <f t="shared" ref="B188:L188" si="99">sum(B185:B187)</f>
        <v>252960.076</v>
      </c>
      <c r="C188" s="108">
        <f t="shared" si="99"/>
        <v>362750.152</v>
      </c>
      <c r="D188" s="108">
        <f t="shared" si="99"/>
        <v>371356.1976</v>
      </c>
      <c r="E188" s="108">
        <f t="shared" si="99"/>
        <v>366787.4341</v>
      </c>
      <c r="F188" s="108">
        <f t="shared" si="99"/>
        <v>443729.0675</v>
      </c>
      <c r="G188" s="108">
        <f t="shared" si="99"/>
        <v>597612.3344</v>
      </c>
      <c r="H188" s="108">
        <f t="shared" si="99"/>
        <v>504814.7694</v>
      </c>
      <c r="I188" s="108">
        <f t="shared" si="99"/>
        <v>533448.7694</v>
      </c>
      <c r="J188" s="108">
        <f t="shared" si="99"/>
        <v>533448.7694</v>
      </c>
      <c r="K188" s="108">
        <f t="shared" si="99"/>
        <v>613748.4829</v>
      </c>
      <c r="L188" s="108">
        <f t="shared" si="99"/>
        <v>467617.8917</v>
      </c>
    </row>
    <row r="189">
      <c r="A189" s="21"/>
      <c r="B189" s="21"/>
      <c r="C189" s="21"/>
      <c r="D189" s="21"/>
      <c r="E189" s="21"/>
      <c r="F189" s="21"/>
      <c r="G189" s="21"/>
      <c r="H189" s="21"/>
      <c r="I189" s="21"/>
      <c r="J189" s="21"/>
      <c r="K189" s="109"/>
    </row>
    <row r="190">
      <c r="A190" s="21"/>
      <c r="B190" s="21"/>
      <c r="C190" s="21"/>
      <c r="D190" s="21"/>
      <c r="E190" s="21"/>
      <c r="F190" s="21"/>
      <c r="G190" s="21"/>
      <c r="H190" s="21"/>
      <c r="I190" s="21"/>
      <c r="J190" s="21"/>
      <c r="K190" s="109"/>
    </row>
    <row r="191">
      <c r="A191" s="67" t="s">
        <v>312</v>
      </c>
      <c r="B191" s="18" t="s">
        <v>313</v>
      </c>
      <c r="C191" s="18">
        <v>6.0</v>
      </c>
      <c r="D191" s="18">
        <v>0.0</v>
      </c>
      <c r="E191" s="18" t="s">
        <v>314</v>
      </c>
      <c r="F191" s="21"/>
      <c r="G191" s="21"/>
      <c r="H191" s="21"/>
      <c r="I191" s="21"/>
      <c r="J191" s="21"/>
      <c r="K191" s="109"/>
    </row>
    <row r="192">
      <c r="A192" s="21" t="s">
        <v>315</v>
      </c>
      <c r="B192" s="21" t="s">
        <v>316</v>
      </c>
      <c r="C192" s="21" t="s">
        <v>317</v>
      </c>
      <c r="D192" s="21"/>
      <c r="E192" s="14" t="s">
        <v>136</v>
      </c>
      <c r="G192" s="21"/>
      <c r="H192" s="21"/>
      <c r="I192" s="21"/>
      <c r="J192" s="21"/>
      <c r="K192" s="109"/>
    </row>
    <row r="193">
      <c r="A193" s="21" t="s">
        <v>318</v>
      </c>
      <c r="B193" s="105">
        <v>7000.0</v>
      </c>
      <c r="C193" s="105">
        <v>2187.0</v>
      </c>
      <c r="D193" s="105">
        <v>9187.0</v>
      </c>
      <c r="E193" s="105">
        <f>D193*2</f>
        <v>18374</v>
      </c>
      <c r="F193" s="110" t="s">
        <v>319</v>
      </c>
      <c r="H193" s="21"/>
      <c r="I193" s="21"/>
      <c r="J193" s="21"/>
      <c r="K193" s="109"/>
    </row>
    <row r="194">
      <c r="A194" s="21" t="s">
        <v>320</v>
      </c>
      <c r="B194" s="105">
        <v>2980.0</v>
      </c>
      <c r="C194" s="106"/>
      <c r="D194" s="106"/>
      <c r="E194" s="105">
        <f>B194*2</f>
        <v>5960</v>
      </c>
      <c r="F194" s="110" t="s">
        <v>321</v>
      </c>
      <c r="H194" s="21"/>
      <c r="I194" s="21"/>
      <c r="J194" s="21"/>
      <c r="K194" s="109"/>
    </row>
    <row r="195">
      <c r="A195" s="21" t="s">
        <v>322</v>
      </c>
      <c r="B195" s="105">
        <v>1800.0</v>
      </c>
      <c r="C195" s="106"/>
      <c r="D195" s="106"/>
      <c r="E195" s="105">
        <f t="shared" ref="E195:E196" si="100">B195</f>
        <v>1800</v>
      </c>
      <c r="F195" s="110" t="s">
        <v>323</v>
      </c>
      <c r="H195" s="21"/>
      <c r="I195" s="21"/>
      <c r="J195" s="21"/>
      <c r="K195" s="109"/>
    </row>
    <row r="196">
      <c r="A196" s="21" t="s">
        <v>324</v>
      </c>
      <c r="B196" s="105">
        <v>2500.0</v>
      </c>
      <c r="C196" s="106"/>
      <c r="D196" s="106"/>
      <c r="E196" s="105">
        <f t="shared" si="100"/>
        <v>2500</v>
      </c>
      <c r="F196" s="21" t="s">
        <v>325</v>
      </c>
      <c r="H196" s="21"/>
      <c r="I196" s="21"/>
      <c r="J196" s="21"/>
      <c r="K196" s="109"/>
    </row>
    <row r="197">
      <c r="A197" s="18" t="s">
        <v>136</v>
      </c>
      <c r="B197" s="106"/>
      <c r="C197" s="106"/>
      <c r="D197" s="106"/>
      <c r="E197" s="111">
        <f>sum(E193:E196)</f>
        <v>28634</v>
      </c>
      <c r="F197" s="21"/>
      <c r="H197" s="21"/>
      <c r="I197" s="21"/>
      <c r="J197" s="21"/>
      <c r="K197" s="109"/>
    </row>
    <row r="198">
      <c r="K198" s="66"/>
    </row>
    <row r="199">
      <c r="A199" s="2" t="s">
        <v>326</v>
      </c>
      <c r="B199" s="2" t="s">
        <v>327</v>
      </c>
      <c r="C199" s="2">
        <v>6.0</v>
      </c>
      <c r="D199" s="2">
        <v>0.0</v>
      </c>
      <c r="E199" s="18" t="s">
        <v>328</v>
      </c>
      <c r="F199" s="2"/>
      <c r="K199" s="66"/>
    </row>
    <row r="200">
      <c r="A200" s="2" t="s">
        <v>3</v>
      </c>
      <c r="B200" s="2">
        <v>2021.0</v>
      </c>
      <c r="C200" s="2">
        <v>2024.0</v>
      </c>
      <c r="D200" s="2">
        <v>2027.0</v>
      </c>
      <c r="E200" s="2">
        <v>2030.0</v>
      </c>
      <c r="F200" s="2">
        <v>2033.0</v>
      </c>
      <c r="K200" s="66"/>
    </row>
    <row r="201">
      <c r="A201" s="2" t="s">
        <v>329</v>
      </c>
      <c r="B201" s="2">
        <v>100.21</v>
      </c>
      <c r="C201" s="26">
        <f t="shared" ref="C201:F201" si="101">B201*1.1</f>
        <v>110.231</v>
      </c>
      <c r="D201" s="26">
        <f t="shared" si="101"/>
        <v>121.2541</v>
      </c>
      <c r="E201" s="26">
        <f t="shared" si="101"/>
        <v>133.37951</v>
      </c>
      <c r="F201" s="26">
        <f t="shared" si="101"/>
        <v>146.717461</v>
      </c>
      <c r="K201" s="66"/>
    </row>
    <row r="202">
      <c r="K202" s="66"/>
    </row>
    <row r="203">
      <c r="K203" s="66"/>
    </row>
    <row r="204">
      <c r="K204" s="66"/>
    </row>
    <row r="205">
      <c r="K205" s="66"/>
    </row>
    <row r="206">
      <c r="K206" s="66"/>
    </row>
    <row r="207">
      <c r="K207" s="66"/>
    </row>
    <row r="208">
      <c r="K208" s="66"/>
    </row>
    <row r="209">
      <c r="K209" s="66"/>
    </row>
    <row r="210">
      <c r="K210" s="66"/>
    </row>
    <row r="211">
      <c r="K211" s="66"/>
    </row>
    <row r="212">
      <c r="K212" s="66"/>
    </row>
    <row r="213">
      <c r="K213" s="66"/>
    </row>
    <row r="214">
      <c r="K214" s="66"/>
    </row>
    <row r="215">
      <c r="K215" s="66"/>
    </row>
    <row r="216">
      <c r="K216" s="66"/>
    </row>
    <row r="217">
      <c r="K217" s="66"/>
    </row>
    <row r="218">
      <c r="K218" s="66"/>
    </row>
    <row r="219">
      <c r="K219" s="66"/>
    </row>
    <row r="220">
      <c r="K220" s="66"/>
    </row>
    <row r="221">
      <c r="K221" s="66"/>
    </row>
    <row r="222">
      <c r="K222" s="66"/>
    </row>
    <row r="223">
      <c r="K223" s="66"/>
    </row>
    <row r="224">
      <c r="K224" s="66"/>
    </row>
    <row r="225">
      <c r="K225" s="66"/>
    </row>
    <row r="226">
      <c r="K226" s="66"/>
    </row>
    <row r="227">
      <c r="K227" s="66"/>
    </row>
    <row r="228">
      <c r="K228" s="66"/>
    </row>
    <row r="229">
      <c r="K229" s="66"/>
    </row>
    <row r="230">
      <c r="K230" s="66"/>
    </row>
    <row r="231">
      <c r="K231" s="66"/>
    </row>
    <row r="232">
      <c r="K232" s="66"/>
    </row>
    <row r="233">
      <c r="K233" s="66"/>
    </row>
    <row r="234">
      <c r="K234" s="66"/>
    </row>
    <row r="235">
      <c r="K235" s="66"/>
    </row>
    <row r="236">
      <c r="K236" s="66"/>
    </row>
    <row r="237">
      <c r="K237" s="66"/>
    </row>
    <row r="238">
      <c r="K238" s="66"/>
    </row>
    <row r="239">
      <c r="K239" s="66"/>
    </row>
    <row r="240">
      <c r="K240" s="66"/>
    </row>
    <row r="241">
      <c r="K241" s="66"/>
    </row>
    <row r="242">
      <c r="K242" s="66"/>
    </row>
    <row r="243">
      <c r="K243" s="66"/>
    </row>
    <row r="244">
      <c r="K244" s="66"/>
    </row>
    <row r="245">
      <c r="K245" s="66"/>
    </row>
    <row r="246">
      <c r="K246" s="66"/>
    </row>
    <row r="247">
      <c r="K247" s="66"/>
    </row>
    <row r="248">
      <c r="K248" s="66"/>
    </row>
    <row r="249">
      <c r="K249" s="66"/>
    </row>
    <row r="250">
      <c r="K250" s="66"/>
    </row>
    <row r="251">
      <c r="K251" s="66"/>
    </row>
    <row r="252">
      <c r="K252" s="66"/>
    </row>
    <row r="253">
      <c r="K253" s="66"/>
    </row>
    <row r="254">
      <c r="K254" s="66"/>
    </row>
    <row r="255">
      <c r="K255" s="66"/>
    </row>
    <row r="256">
      <c r="K256" s="66"/>
    </row>
    <row r="257">
      <c r="K257" s="66"/>
    </row>
    <row r="258">
      <c r="K258" s="66"/>
    </row>
    <row r="259">
      <c r="K259" s="66"/>
    </row>
    <row r="260">
      <c r="K260" s="66"/>
    </row>
    <row r="261">
      <c r="K261" s="66"/>
    </row>
    <row r="262">
      <c r="K262" s="66"/>
    </row>
    <row r="263">
      <c r="K263" s="66"/>
    </row>
    <row r="264">
      <c r="K264" s="66"/>
    </row>
    <row r="265">
      <c r="K265" s="66"/>
    </row>
    <row r="266">
      <c r="K266" s="66"/>
    </row>
    <row r="267">
      <c r="K267" s="66"/>
    </row>
    <row r="268">
      <c r="K268" s="66"/>
    </row>
    <row r="269">
      <c r="K269" s="66"/>
    </row>
    <row r="270">
      <c r="K270" s="66"/>
    </row>
    <row r="271">
      <c r="K271" s="66"/>
    </row>
    <row r="272">
      <c r="K272" s="66"/>
    </row>
    <row r="273">
      <c r="K273" s="66"/>
    </row>
    <row r="274">
      <c r="K274" s="66"/>
    </row>
    <row r="275">
      <c r="K275" s="66"/>
    </row>
    <row r="276">
      <c r="K276" s="66"/>
    </row>
    <row r="277">
      <c r="K277" s="66"/>
    </row>
    <row r="278">
      <c r="K278" s="66"/>
    </row>
    <row r="279">
      <c r="K279" s="66"/>
    </row>
    <row r="280">
      <c r="K280" s="66"/>
    </row>
    <row r="281">
      <c r="K281" s="66"/>
    </row>
    <row r="282">
      <c r="K282" s="66"/>
    </row>
    <row r="283">
      <c r="K283" s="66"/>
    </row>
    <row r="284">
      <c r="K284" s="66"/>
    </row>
    <row r="285">
      <c r="K285" s="66"/>
    </row>
    <row r="286">
      <c r="K286" s="66"/>
    </row>
    <row r="287">
      <c r="K287" s="66"/>
    </row>
    <row r="288">
      <c r="K288" s="66"/>
    </row>
    <row r="289">
      <c r="K289" s="66"/>
    </row>
    <row r="290">
      <c r="K290" s="66"/>
    </row>
    <row r="291">
      <c r="K291" s="66"/>
    </row>
    <row r="292">
      <c r="K292" s="66"/>
    </row>
    <row r="293">
      <c r="K293" s="66"/>
    </row>
    <row r="294">
      <c r="K294" s="66"/>
    </row>
    <row r="295">
      <c r="K295" s="66"/>
    </row>
    <row r="296">
      <c r="K296" s="66"/>
    </row>
    <row r="297">
      <c r="K297" s="66"/>
    </row>
    <row r="298">
      <c r="K298" s="66"/>
    </row>
    <row r="299">
      <c r="K299" s="66"/>
    </row>
    <row r="300">
      <c r="K300" s="66"/>
    </row>
    <row r="301">
      <c r="K301" s="66"/>
    </row>
    <row r="302">
      <c r="K302" s="66"/>
    </row>
    <row r="303">
      <c r="K303" s="66"/>
    </row>
    <row r="304">
      <c r="K304" s="66"/>
    </row>
    <row r="305">
      <c r="K305" s="66"/>
    </row>
    <row r="306">
      <c r="K306" s="66"/>
    </row>
    <row r="307">
      <c r="K307" s="66"/>
    </row>
    <row r="308">
      <c r="K308" s="66"/>
    </row>
    <row r="309">
      <c r="K309" s="66"/>
    </row>
    <row r="310">
      <c r="K310" s="66"/>
    </row>
    <row r="311">
      <c r="K311" s="66"/>
    </row>
    <row r="312">
      <c r="K312" s="66"/>
    </row>
    <row r="313">
      <c r="K313" s="66"/>
    </row>
    <row r="314">
      <c r="K314" s="66"/>
    </row>
    <row r="315">
      <c r="K315" s="66"/>
    </row>
    <row r="316">
      <c r="K316" s="66"/>
    </row>
    <row r="317">
      <c r="K317" s="66"/>
    </row>
    <row r="318">
      <c r="K318" s="66"/>
    </row>
    <row r="319">
      <c r="K319" s="66"/>
    </row>
    <row r="320">
      <c r="K320" s="66"/>
    </row>
    <row r="321">
      <c r="K321" s="66"/>
    </row>
    <row r="322">
      <c r="K322" s="66"/>
    </row>
    <row r="323">
      <c r="K323" s="66"/>
    </row>
    <row r="324">
      <c r="K324" s="66"/>
    </row>
    <row r="325">
      <c r="K325" s="66"/>
    </row>
    <row r="326">
      <c r="K326" s="66"/>
    </row>
    <row r="327">
      <c r="K327" s="66"/>
    </row>
    <row r="328">
      <c r="K328" s="66"/>
    </row>
    <row r="329">
      <c r="K329" s="66"/>
    </row>
    <row r="330">
      <c r="K330" s="66"/>
    </row>
    <row r="331">
      <c r="K331" s="66"/>
    </row>
    <row r="332">
      <c r="K332" s="66"/>
    </row>
    <row r="333">
      <c r="K333" s="66"/>
    </row>
    <row r="334">
      <c r="K334" s="66"/>
    </row>
    <row r="335">
      <c r="K335" s="66"/>
    </row>
    <row r="336">
      <c r="K336" s="66"/>
    </row>
    <row r="337">
      <c r="K337" s="66"/>
    </row>
    <row r="338">
      <c r="K338" s="66"/>
    </row>
    <row r="339">
      <c r="K339" s="66"/>
    </row>
    <row r="340">
      <c r="K340" s="66"/>
    </row>
    <row r="341">
      <c r="K341" s="66"/>
    </row>
    <row r="342">
      <c r="K342" s="66"/>
    </row>
    <row r="343">
      <c r="K343" s="66"/>
    </row>
    <row r="344">
      <c r="K344" s="66"/>
    </row>
    <row r="345">
      <c r="K345" s="66"/>
    </row>
    <row r="346">
      <c r="K346" s="66"/>
    </row>
    <row r="347">
      <c r="K347" s="66"/>
    </row>
    <row r="348">
      <c r="K348" s="66"/>
    </row>
    <row r="349">
      <c r="K349" s="66"/>
    </row>
    <row r="350">
      <c r="K350" s="66"/>
    </row>
    <row r="351">
      <c r="K351" s="66"/>
    </row>
    <row r="352">
      <c r="K352" s="66"/>
    </row>
    <row r="353">
      <c r="K353" s="66"/>
    </row>
    <row r="354">
      <c r="K354" s="66"/>
    </row>
    <row r="355">
      <c r="K355" s="66"/>
    </row>
    <row r="356">
      <c r="K356" s="66"/>
    </row>
    <row r="357">
      <c r="K357" s="66"/>
    </row>
    <row r="358">
      <c r="K358" s="66"/>
    </row>
    <row r="359">
      <c r="K359" s="66"/>
    </row>
    <row r="360">
      <c r="K360" s="66"/>
    </row>
    <row r="361">
      <c r="K361" s="66"/>
    </row>
    <row r="362">
      <c r="K362" s="66"/>
    </row>
    <row r="363">
      <c r="K363" s="66"/>
    </row>
    <row r="364">
      <c r="K364" s="66"/>
    </row>
    <row r="365">
      <c r="K365" s="66"/>
    </row>
    <row r="366">
      <c r="K366" s="66"/>
    </row>
    <row r="367">
      <c r="K367" s="66"/>
    </row>
    <row r="368">
      <c r="K368" s="66"/>
    </row>
    <row r="369">
      <c r="K369" s="66"/>
    </row>
    <row r="370">
      <c r="K370" s="66"/>
    </row>
    <row r="371">
      <c r="K371" s="66"/>
    </row>
    <row r="372">
      <c r="K372" s="66"/>
    </row>
    <row r="373">
      <c r="K373" s="66"/>
    </row>
    <row r="374">
      <c r="K374" s="66"/>
    </row>
    <row r="375">
      <c r="K375" s="66"/>
    </row>
    <row r="376">
      <c r="K376" s="66"/>
    </row>
    <row r="377">
      <c r="K377" s="66"/>
    </row>
    <row r="378">
      <c r="K378" s="66"/>
    </row>
    <row r="379">
      <c r="K379" s="66"/>
    </row>
    <row r="380">
      <c r="K380" s="66"/>
    </row>
    <row r="381">
      <c r="K381" s="66"/>
    </row>
    <row r="382">
      <c r="K382" s="66"/>
    </row>
    <row r="383">
      <c r="K383" s="66"/>
    </row>
    <row r="384">
      <c r="K384" s="66"/>
    </row>
    <row r="385">
      <c r="K385" s="66"/>
    </row>
    <row r="386">
      <c r="K386" s="66"/>
    </row>
    <row r="387">
      <c r="K387" s="66"/>
    </row>
    <row r="388">
      <c r="K388" s="66"/>
    </row>
    <row r="389">
      <c r="K389" s="66"/>
    </row>
    <row r="390">
      <c r="K390" s="66"/>
    </row>
    <row r="391">
      <c r="K391" s="66"/>
    </row>
    <row r="392">
      <c r="K392" s="66"/>
    </row>
    <row r="393">
      <c r="K393" s="66"/>
    </row>
    <row r="394">
      <c r="K394" s="66"/>
    </row>
    <row r="395">
      <c r="K395" s="66"/>
    </row>
    <row r="396">
      <c r="K396" s="66"/>
    </row>
    <row r="397">
      <c r="K397" s="66"/>
    </row>
    <row r="398">
      <c r="K398" s="66"/>
    </row>
    <row r="399">
      <c r="K399" s="66"/>
    </row>
    <row r="400">
      <c r="K400" s="66"/>
    </row>
    <row r="401">
      <c r="K401" s="66"/>
    </row>
    <row r="402">
      <c r="K402" s="66"/>
    </row>
    <row r="403">
      <c r="K403" s="66"/>
    </row>
    <row r="404">
      <c r="K404" s="66"/>
    </row>
    <row r="405">
      <c r="K405" s="66"/>
    </row>
    <row r="406">
      <c r="K406" s="66"/>
    </row>
    <row r="407">
      <c r="K407" s="66"/>
    </row>
    <row r="408">
      <c r="K408" s="66"/>
    </row>
    <row r="409">
      <c r="K409" s="66"/>
    </row>
    <row r="410">
      <c r="K410" s="66"/>
    </row>
    <row r="411">
      <c r="K411" s="66"/>
    </row>
    <row r="412">
      <c r="K412" s="66"/>
    </row>
    <row r="413">
      <c r="K413" s="66"/>
    </row>
    <row r="414">
      <c r="K414" s="66"/>
    </row>
    <row r="415">
      <c r="K415" s="66"/>
    </row>
    <row r="416">
      <c r="K416" s="66"/>
    </row>
    <row r="417">
      <c r="K417" s="66"/>
    </row>
    <row r="418">
      <c r="K418" s="66"/>
    </row>
    <row r="419">
      <c r="K419" s="66"/>
    </row>
    <row r="420">
      <c r="K420" s="66"/>
    </row>
    <row r="421">
      <c r="K421" s="66"/>
    </row>
    <row r="422">
      <c r="K422" s="66"/>
    </row>
    <row r="423">
      <c r="K423" s="66"/>
    </row>
    <row r="424">
      <c r="K424" s="66"/>
    </row>
    <row r="425">
      <c r="K425" s="66"/>
    </row>
    <row r="426">
      <c r="K426" s="66"/>
    </row>
    <row r="427">
      <c r="K427" s="66"/>
    </row>
    <row r="428">
      <c r="K428" s="66"/>
    </row>
    <row r="429">
      <c r="K429" s="66"/>
    </row>
    <row r="430">
      <c r="K430" s="66"/>
    </row>
    <row r="431">
      <c r="K431" s="66"/>
    </row>
    <row r="432">
      <c r="K432" s="66"/>
    </row>
    <row r="433">
      <c r="K433" s="66"/>
    </row>
    <row r="434">
      <c r="K434" s="66"/>
    </row>
    <row r="435">
      <c r="K435" s="66"/>
    </row>
    <row r="436">
      <c r="K436" s="66"/>
    </row>
    <row r="437">
      <c r="K437" s="66"/>
    </row>
    <row r="438">
      <c r="K438" s="66"/>
    </row>
    <row r="439">
      <c r="K439" s="66"/>
    </row>
    <row r="440">
      <c r="K440" s="66"/>
    </row>
    <row r="441">
      <c r="K441" s="66"/>
    </row>
    <row r="442">
      <c r="K442" s="66"/>
    </row>
    <row r="443">
      <c r="K443" s="66"/>
    </row>
    <row r="444">
      <c r="K444" s="66"/>
    </row>
    <row r="445">
      <c r="K445" s="66"/>
    </row>
    <row r="446">
      <c r="K446" s="66"/>
    </row>
    <row r="447">
      <c r="K447" s="66"/>
    </row>
    <row r="448">
      <c r="K448" s="66"/>
    </row>
    <row r="449">
      <c r="K449" s="66"/>
    </row>
    <row r="450">
      <c r="K450" s="66"/>
    </row>
    <row r="451">
      <c r="K451" s="66"/>
    </row>
    <row r="452">
      <c r="K452" s="66"/>
    </row>
    <row r="453">
      <c r="K453" s="66"/>
    </row>
    <row r="454">
      <c r="K454" s="66"/>
    </row>
    <row r="455">
      <c r="K455" s="66"/>
    </row>
    <row r="456">
      <c r="K456" s="66"/>
    </row>
    <row r="457">
      <c r="K457" s="66"/>
    </row>
    <row r="458">
      <c r="K458" s="66"/>
    </row>
    <row r="459">
      <c r="K459" s="66"/>
    </row>
    <row r="460">
      <c r="K460" s="66"/>
    </row>
    <row r="461">
      <c r="K461" s="66"/>
    </row>
    <row r="462">
      <c r="K462" s="66"/>
    </row>
    <row r="463">
      <c r="K463" s="66"/>
    </row>
    <row r="464">
      <c r="K464" s="66"/>
    </row>
    <row r="465">
      <c r="K465" s="66"/>
    </row>
    <row r="466">
      <c r="K466" s="66"/>
    </row>
    <row r="467">
      <c r="K467" s="66"/>
    </row>
    <row r="468">
      <c r="K468" s="66"/>
    </row>
    <row r="469">
      <c r="K469" s="66"/>
    </row>
    <row r="470">
      <c r="K470" s="66"/>
    </row>
    <row r="471">
      <c r="K471" s="66"/>
    </row>
    <row r="472">
      <c r="K472" s="66"/>
    </row>
    <row r="473">
      <c r="K473" s="66"/>
    </row>
    <row r="474">
      <c r="K474" s="66"/>
    </row>
    <row r="475">
      <c r="K475" s="66"/>
    </row>
    <row r="476">
      <c r="K476" s="66"/>
    </row>
    <row r="477">
      <c r="K477" s="66"/>
    </row>
    <row r="478">
      <c r="K478" s="66"/>
    </row>
    <row r="479">
      <c r="K479" s="66"/>
    </row>
    <row r="480">
      <c r="K480" s="66"/>
    </row>
    <row r="481">
      <c r="K481" s="66"/>
    </row>
    <row r="482">
      <c r="K482" s="66"/>
    </row>
    <row r="483">
      <c r="K483" s="66"/>
    </row>
    <row r="484">
      <c r="K484" s="66"/>
    </row>
    <row r="485">
      <c r="K485" s="66"/>
    </row>
    <row r="486">
      <c r="K486" s="66"/>
    </row>
    <row r="487">
      <c r="K487" s="66"/>
    </row>
    <row r="488">
      <c r="K488" s="66"/>
    </row>
    <row r="489">
      <c r="K489" s="66"/>
    </row>
    <row r="490">
      <c r="K490" s="66"/>
    </row>
    <row r="491">
      <c r="K491" s="66"/>
    </row>
    <row r="492">
      <c r="K492" s="66"/>
    </row>
    <row r="493">
      <c r="K493" s="66"/>
    </row>
    <row r="494">
      <c r="K494" s="66"/>
    </row>
    <row r="495">
      <c r="K495" s="66"/>
    </row>
    <row r="496">
      <c r="K496" s="66"/>
    </row>
    <row r="497">
      <c r="K497" s="66"/>
    </row>
    <row r="498">
      <c r="K498" s="66"/>
    </row>
    <row r="499">
      <c r="K499" s="66"/>
    </row>
    <row r="500">
      <c r="K500" s="66"/>
    </row>
    <row r="501">
      <c r="K501" s="66"/>
    </row>
    <row r="502">
      <c r="K502" s="66"/>
    </row>
    <row r="503">
      <c r="K503" s="66"/>
    </row>
    <row r="504">
      <c r="K504" s="66"/>
    </row>
    <row r="505">
      <c r="K505" s="66"/>
    </row>
    <row r="506">
      <c r="K506" s="66"/>
    </row>
    <row r="507">
      <c r="K507" s="66"/>
    </row>
    <row r="508">
      <c r="K508" s="66"/>
    </row>
    <row r="509">
      <c r="K509" s="66"/>
    </row>
    <row r="510">
      <c r="K510" s="66"/>
    </row>
    <row r="511">
      <c r="K511" s="66"/>
    </row>
    <row r="512">
      <c r="K512" s="66"/>
    </row>
    <row r="513">
      <c r="K513" s="66"/>
    </row>
    <row r="514">
      <c r="K514" s="66"/>
    </row>
    <row r="515">
      <c r="K515" s="66"/>
    </row>
    <row r="516">
      <c r="K516" s="66"/>
    </row>
    <row r="517">
      <c r="K517" s="66"/>
    </row>
    <row r="518">
      <c r="K518" s="66"/>
    </row>
    <row r="519">
      <c r="K519" s="66"/>
    </row>
    <row r="520">
      <c r="K520" s="66"/>
    </row>
    <row r="521">
      <c r="K521" s="66"/>
    </row>
    <row r="522">
      <c r="K522" s="66"/>
    </row>
    <row r="523">
      <c r="K523" s="66"/>
    </row>
    <row r="524">
      <c r="K524" s="66"/>
    </row>
    <row r="525">
      <c r="K525" s="66"/>
    </row>
    <row r="526">
      <c r="K526" s="66"/>
    </row>
    <row r="527">
      <c r="K527" s="66"/>
    </row>
    <row r="528">
      <c r="K528" s="66"/>
    </row>
    <row r="529">
      <c r="K529" s="66"/>
    </row>
    <row r="530">
      <c r="K530" s="66"/>
    </row>
    <row r="531">
      <c r="K531" s="66"/>
    </row>
    <row r="532">
      <c r="K532" s="66"/>
    </row>
    <row r="533">
      <c r="K533" s="66"/>
    </row>
    <row r="534">
      <c r="K534" s="66"/>
    </row>
    <row r="535">
      <c r="K535" s="66"/>
    </row>
    <row r="536">
      <c r="K536" s="66"/>
    </row>
    <row r="537">
      <c r="K537" s="66"/>
    </row>
    <row r="538">
      <c r="K538" s="66"/>
    </row>
    <row r="539">
      <c r="K539" s="66"/>
    </row>
    <row r="540">
      <c r="K540" s="66"/>
    </row>
    <row r="541">
      <c r="K541" s="66"/>
    </row>
    <row r="542">
      <c r="K542" s="66"/>
    </row>
    <row r="543">
      <c r="K543" s="66"/>
    </row>
    <row r="544">
      <c r="K544" s="66"/>
    </row>
    <row r="545">
      <c r="K545" s="66"/>
    </row>
    <row r="546">
      <c r="K546" s="66"/>
    </row>
    <row r="547">
      <c r="K547" s="66"/>
    </row>
    <row r="548">
      <c r="K548" s="66"/>
    </row>
    <row r="549">
      <c r="K549" s="66"/>
    </row>
    <row r="550">
      <c r="K550" s="66"/>
    </row>
    <row r="551">
      <c r="K551" s="66"/>
    </row>
    <row r="552">
      <c r="K552" s="66"/>
    </row>
    <row r="553">
      <c r="K553" s="66"/>
    </row>
    <row r="554">
      <c r="K554" s="66"/>
    </row>
    <row r="555">
      <c r="K555" s="66"/>
    </row>
    <row r="556">
      <c r="K556" s="66"/>
    </row>
    <row r="557">
      <c r="K557" s="66"/>
    </row>
    <row r="558">
      <c r="K558" s="66"/>
    </row>
    <row r="559">
      <c r="K559" s="66"/>
    </row>
    <row r="560">
      <c r="K560" s="66"/>
    </row>
    <row r="561">
      <c r="K561" s="66"/>
    </row>
    <row r="562">
      <c r="K562" s="66"/>
    </row>
    <row r="563">
      <c r="K563" s="66"/>
    </row>
    <row r="564">
      <c r="K564" s="66"/>
    </row>
    <row r="565">
      <c r="K565" s="66"/>
    </row>
    <row r="566">
      <c r="K566" s="66"/>
    </row>
    <row r="567">
      <c r="K567" s="66"/>
    </row>
    <row r="568">
      <c r="K568" s="66"/>
    </row>
    <row r="569">
      <c r="K569" s="66"/>
    </row>
    <row r="570">
      <c r="K570" s="66"/>
    </row>
    <row r="571">
      <c r="K571" s="66"/>
    </row>
    <row r="572">
      <c r="K572" s="66"/>
    </row>
    <row r="573">
      <c r="K573" s="66"/>
    </row>
    <row r="574">
      <c r="K574" s="66"/>
    </row>
    <row r="575">
      <c r="K575" s="66"/>
    </row>
    <row r="576">
      <c r="K576" s="66"/>
    </row>
    <row r="577">
      <c r="K577" s="66"/>
    </row>
    <row r="578">
      <c r="K578" s="66"/>
    </row>
    <row r="579">
      <c r="K579" s="66"/>
    </row>
    <row r="580">
      <c r="K580" s="66"/>
    </row>
    <row r="581">
      <c r="K581" s="66"/>
    </row>
    <row r="582">
      <c r="K582" s="66"/>
    </row>
    <row r="583">
      <c r="K583" s="66"/>
    </row>
    <row r="584">
      <c r="K584" s="66"/>
    </row>
    <row r="585">
      <c r="K585" s="66"/>
    </row>
    <row r="586">
      <c r="K586" s="66"/>
    </row>
    <row r="587">
      <c r="K587" s="66"/>
    </row>
    <row r="588">
      <c r="K588" s="66"/>
    </row>
    <row r="589">
      <c r="K589" s="66"/>
    </row>
    <row r="590">
      <c r="K590" s="66"/>
    </row>
    <row r="591">
      <c r="K591" s="66"/>
    </row>
    <row r="592">
      <c r="K592" s="66"/>
    </row>
    <row r="593">
      <c r="K593" s="66"/>
    </row>
    <row r="594">
      <c r="K594" s="66"/>
    </row>
    <row r="595">
      <c r="K595" s="66"/>
    </row>
    <row r="596">
      <c r="K596" s="66"/>
    </row>
    <row r="597">
      <c r="K597" s="66"/>
    </row>
    <row r="598">
      <c r="K598" s="66"/>
    </row>
    <row r="599">
      <c r="K599" s="66"/>
    </row>
    <row r="600">
      <c r="K600" s="66"/>
    </row>
    <row r="601">
      <c r="K601" s="66"/>
    </row>
    <row r="602">
      <c r="K602" s="66"/>
    </row>
    <row r="603">
      <c r="K603" s="66"/>
    </row>
    <row r="604">
      <c r="K604" s="66"/>
    </row>
    <row r="605">
      <c r="K605" s="66"/>
    </row>
    <row r="606">
      <c r="K606" s="66"/>
    </row>
    <row r="607">
      <c r="K607" s="66"/>
    </row>
    <row r="608">
      <c r="K608" s="66"/>
    </row>
    <row r="609">
      <c r="K609" s="66"/>
    </row>
    <row r="610">
      <c r="K610" s="66"/>
    </row>
    <row r="611">
      <c r="K611" s="66"/>
    </row>
    <row r="612">
      <c r="K612" s="66"/>
    </row>
    <row r="613">
      <c r="K613" s="66"/>
    </row>
    <row r="614">
      <c r="K614" s="66"/>
    </row>
    <row r="615">
      <c r="K615" s="66"/>
    </row>
    <row r="616">
      <c r="K616" s="66"/>
    </row>
    <row r="617">
      <c r="K617" s="66"/>
    </row>
    <row r="618">
      <c r="K618" s="66"/>
    </row>
    <row r="619">
      <c r="K619" s="66"/>
    </row>
    <row r="620">
      <c r="K620" s="66"/>
    </row>
    <row r="621">
      <c r="K621" s="66"/>
    </row>
    <row r="622">
      <c r="K622" s="66"/>
    </row>
    <row r="623">
      <c r="K623" s="66"/>
    </row>
    <row r="624">
      <c r="K624" s="66"/>
    </row>
    <row r="625">
      <c r="K625" s="66"/>
    </row>
    <row r="626">
      <c r="K626" s="66"/>
    </row>
    <row r="627">
      <c r="K627" s="66"/>
    </row>
    <row r="628">
      <c r="K628" s="66"/>
    </row>
    <row r="629">
      <c r="K629" s="66"/>
    </row>
    <row r="630">
      <c r="K630" s="66"/>
    </row>
    <row r="631">
      <c r="K631" s="66"/>
    </row>
    <row r="632">
      <c r="K632" s="66"/>
    </row>
    <row r="633">
      <c r="K633" s="66"/>
    </row>
    <row r="634">
      <c r="K634" s="66"/>
    </row>
    <row r="635">
      <c r="K635" s="66"/>
    </row>
    <row r="636">
      <c r="K636" s="66"/>
    </row>
    <row r="637">
      <c r="K637" s="66"/>
    </row>
    <row r="638">
      <c r="K638" s="66"/>
    </row>
    <row r="639">
      <c r="K639" s="66"/>
    </row>
    <row r="640">
      <c r="K640" s="66"/>
    </row>
    <row r="641">
      <c r="K641" s="66"/>
    </row>
    <row r="642">
      <c r="K642" s="66"/>
    </row>
    <row r="643">
      <c r="K643" s="66"/>
    </row>
    <row r="644">
      <c r="K644" s="66"/>
    </row>
    <row r="645">
      <c r="K645" s="66"/>
    </row>
    <row r="646">
      <c r="K646" s="66"/>
    </row>
    <row r="647">
      <c r="K647" s="66"/>
    </row>
    <row r="648">
      <c r="K648" s="66"/>
    </row>
    <row r="649">
      <c r="K649" s="66"/>
    </row>
    <row r="650">
      <c r="K650" s="66"/>
    </row>
    <row r="651">
      <c r="K651" s="66"/>
    </row>
    <row r="652">
      <c r="K652" s="66"/>
    </row>
    <row r="653">
      <c r="K653" s="66"/>
    </row>
    <row r="654">
      <c r="K654" s="66"/>
    </row>
    <row r="655">
      <c r="K655" s="66"/>
    </row>
    <row r="656">
      <c r="K656" s="66"/>
    </row>
    <row r="657">
      <c r="K657" s="66"/>
    </row>
    <row r="658">
      <c r="K658" s="66"/>
    </row>
    <row r="659">
      <c r="K659" s="66"/>
    </row>
    <row r="660">
      <c r="K660" s="66"/>
    </row>
    <row r="661">
      <c r="K661" s="66"/>
    </row>
    <row r="662">
      <c r="K662" s="66"/>
    </row>
    <row r="663">
      <c r="K663" s="66"/>
    </row>
    <row r="664">
      <c r="K664" s="66"/>
    </row>
    <row r="665">
      <c r="K665" s="66"/>
    </row>
    <row r="666">
      <c r="K666" s="66"/>
    </row>
    <row r="667">
      <c r="K667" s="66"/>
    </row>
    <row r="668">
      <c r="K668" s="66"/>
    </row>
    <row r="669">
      <c r="K669" s="66"/>
    </row>
    <row r="670">
      <c r="K670" s="66"/>
    </row>
    <row r="671">
      <c r="K671" s="66"/>
    </row>
    <row r="672">
      <c r="K672" s="66"/>
    </row>
    <row r="673">
      <c r="K673" s="66"/>
    </row>
    <row r="674">
      <c r="K674" s="66"/>
    </row>
    <row r="675">
      <c r="K675" s="66"/>
    </row>
    <row r="676">
      <c r="K676" s="66"/>
    </row>
    <row r="677">
      <c r="K677" s="66"/>
    </row>
    <row r="678">
      <c r="K678" s="66"/>
    </row>
    <row r="679">
      <c r="K679" s="66"/>
    </row>
    <row r="680">
      <c r="K680" s="66"/>
    </row>
    <row r="681">
      <c r="K681" s="66"/>
    </row>
    <row r="682">
      <c r="K682" s="66"/>
    </row>
    <row r="683">
      <c r="K683" s="66"/>
    </row>
    <row r="684">
      <c r="K684" s="66"/>
    </row>
    <row r="685">
      <c r="K685" s="66"/>
    </row>
    <row r="686">
      <c r="K686" s="66"/>
    </row>
    <row r="687">
      <c r="K687" s="66"/>
    </row>
    <row r="688">
      <c r="K688" s="66"/>
    </row>
    <row r="689">
      <c r="K689" s="66"/>
    </row>
    <row r="690">
      <c r="K690" s="66"/>
    </row>
    <row r="691">
      <c r="K691" s="66"/>
    </row>
    <row r="692">
      <c r="K692" s="66"/>
    </row>
    <row r="693">
      <c r="K693" s="66"/>
    </row>
    <row r="694">
      <c r="K694" s="66"/>
    </row>
    <row r="695">
      <c r="K695" s="66"/>
    </row>
    <row r="696">
      <c r="K696" s="66"/>
    </row>
    <row r="697">
      <c r="K697" s="66"/>
    </row>
    <row r="698">
      <c r="K698" s="66"/>
    </row>
    <row r="699">
      <c r="K699" s="66"/>
    </row>
    <row r="700">
      <c r="K700" s="66"/>
    </row>
    <row r="701">
      <c r="K701" s="66"/>
    </row>
    <row r="702">
      <c r="K702" s="66"/>
    </row>
    <row r="703">
      <c r="K703" s="66"/>
    </row>
    <row r="704">
      <c r="K704" s="66"/>
    </row>
    <row r="705">
      <c r="K705" s="66"/>
    </row>
    <row r="706">
      <c r="K706" s="66"/>
    </row>
    <row r="707">
      <c r="K707" s="66"/>
    </row>
    <row r="708">
      <c r="K708" s="66"/>
    </row>
    <row r="709">
      <c r="K709" s="66"/>
    </row>
    <row r="710">
      <c r="K710" s="66"/>
    </row>
    <row r="711">
      <c r="K711" s="66"/>
    </row>
    <row r="712">
      <c r="K712" s="66"/>
    </row>
    <row r="713">
      <c r="K713" s="66"/>
    </row>
    <row r="714">
      <c r="K714" s="66"/>
    </row>
    <row r="715">
      <c r="K715" s="66"/>
    </row>
    <row r="716">
      <c r="K716" s="66"/>
    </row>
    <row r="717">
      <c r="K717" s="66"/>
    </row>
    <row r="718">
      <c r="K718" s="66"/>
    </row>
    <row r="719">
      <c r="K719" s="66"/>
    </row>
    <row r="720">
      <c r="K720" s="66"/>
    </row>
    <row r="721">
      <c r="K721" s="66"/>
    </row>
    <row r="722">
      <c r="K722" s="66"/>
    </row>
    <row r="723">
      <c r="K723" s="66"/>
    </row>
    <row r="724">
      <c r="K724" s="66"/>
    </row>
    <row r="725">
      <c r="K725" s="66"/>
    </row>
    <row r="726">
      <c r="K726" s="66"/>
    </row>
    <row r="727">
      <c r="K727" s="66"/>
    </row>
    <row r="728">
      <c r="K728" s="66"/>
    </row>
    <row r="729">
      <c r="K729" s="66"/>
    </row>
    <row r="730">
      <c r="K730" s="66"/>
    </row>
    <row r="731">
      <c r="K731" s="66"/>
    </row>
    <row r="732">
      <c r="K732" s="66"/>
    </row>
    <row r="733">
      <c r="K733" s="66"/>
    </row>
    <row r="734">
      <c r="K734" s="66"/>
    </row>
    <row r="735">
      <c r="K735" s="66"/>
    </row>
    <row r="736">
      <c r="K736" s="66"/>
    </row>
    <row r="737">
      <c r="K737" s="66"/>
    </row>
    <row r="738">
      <c r="K738" s="66"/>
    </row>
    <row r="739">
      <c r="K739" s="66"/>
    </row>
    <row r="740">
      <c r="K740" s="66"/>
    </row>
    <row r="741">
      <c r="K741" s="66"/>
    </row>
    <row r="742">
      <c r="K742" s="66"/>
    </row>
    <row r="743">
      <c r="K743" s="66"/>
    </row>
    <row r="744">
      <c r="K744" s="66"/>
    </row>
    <row r="745">
      <c r="K745" s="66"/>
    </row>
    <row r="746">
      <c r="K746" s="66"/>
    </row>
    <row r="747">
      <c r="K747" s="66"/>
    </row>
    <row r="748">
      <c r="K748" s="66"/>
    </row>
    <row r="749">
      <c r="K749" s="66"/>
    </row>
    <row r="750">
      <c r="K750" s="66"/>
    </row>
    <row r="751">
      <c r="K751" s="66"/>
    </row>
    <row r="752">
      <c r="K752" s="66"/>
    </row>
    <row r="753">
      <c r="K753" s="66"/>
    </row>
    <row r="754">
      <c r="K754" s="66"/>
    </row>
    <row r="755">
      <c r="K755" s="66"/>
    </row>
    <row r="756">
      <c r="K756" s="66"/>
    </row>
    <row r="757">
      <c r="K757" s="66"/>
    </row>
    <row r="758">
      <c r="K758" s="66"/>
    </row>
    <row r="759">
      <c r="K759" s="66"/>
    </row>
    <row r="760">
      <c r="K760" s="66"/>
    </row>
    <row r="761">
      <c r="K761" s="66"/>
    </row>
    <row r="762">
      <c r="K762" s="66"/>
    </row>
    <row r="763">
      <c r="K763" s="66"/>
    </row>
    <row r="764">
      <c r="K764" s="66"/>
    </row>
    <row r="765">
      <c r="K765" s="66"/>
    </row>
    <row r="766">
      <c r="K766" s="66"/>
    </row>
    <row r="767">
      <c r="K767" s="66"/>
    </row>
    <row r="768">
      <c r="K768" s="66"/>
    </row>
    <row r="769">
      <c r="K769" s="66"/>
    </row>
    <row r="770">
      <c r="K770" s="66"/>
    </row>
    <row r="771">
      <c r="K771" s="66"/>
    </row>
    <row r="772">
      <c r="K772" s="66"/>
    </row>
    <row r="773">
      <c r="K773" s="66"/>
    </row>
    <row r="774">
      <c r="K774" s="66"/>
    </row>
    <row r="775">
      <c r="K775" s="66"/>
    </row>
    <row r="776">
      <c r="K776" s="66"/>
    </row>
    <row r="777">
      <c r="K777" s="66"/>
    </row>
    <row r="778">
      <c r="K778" s="66"/>
    </row>
    <row r="779">
      <c r="K779" s="66"/>
    </row>
    <row r="780">
      <c r="K780" s="66"/>
    </row>
    <row r="781">
      <c r="K781" s="66"/>
    </row>
    <row r="782">
      <c r="K782" s="66"/>
    </row>
    <row r="783">
      <c r="K783" s="66"/>
    </row>
    <row r="784">
      <c r="K784" s="66"/>
    </row>
    <row r="785">
      <c r="K785" s="66"/>
    </row>
    <row r="786">
      <c r="K786" s="66"/>
    </row>
    <row r="787">
      <c r="K787" s="66"/>
    </row>
    <row r="788">
      <c r="K788" s="66"/>
    </row>
    <row r="789">
      <c r="K789" s="66"/>
    </row>
    <row r="790">
      <c r="K790" s="66"/>
    </row>
    <row r="791">
      <c r="K791" s="66"/>
    </row>
    <row r="792">
      <c r="K792" s="66"/>
    </row>
    <row r="793">
      <c r="K793" s="66"/>
    </row>
    <row r="794">
      <c r="K794" s="66"/>
    </row>
    <row r="795">
      <c r="K795" s="66"/>
    </row>
    <row r="796">
      <c r="K796" s="66"/>
    </row>
    <row r="797">
      <c r="K797" s="66"/>
    </row>
    <row r="798">
      <c r="K798" s="66"/>
    </row>
    <row r="799">
      <c r="K799" s="66"/>
    </row>
    <row r="800">
      <c r="K800" s="66"/>
    </row>
    <row r="801">
      <c r="K801" s="66"/>
    </row>
    <row r="802">
      <c r="K802" s="66"/>
    </row>
    <row r="803">
      <c r="K803" s="66"/>
    </row>
    <row r="804">
      <c r="K804" s="66"/>
    </row>
    <row r="805">
      <c r="K805" s="66"/>
    </row>
    <row r="806">
      <c r="K806" s="66"/>
    </row>
    <row r="807">
      <c r="K807" s="66"/>
    </row>
    <row r="808">
      <c r="K808" s="66"/>
    </row>
    <row r="809">
      <c r="K809" s="66"/>
    </row>
    <row r="810">
      <c r="K810" s="66"/>
    </row>
    <row r="811">
      <c r="K811" s="66"/>
    </row>
    <row r="812">
      <c r="K812" s="66"/>
    </row>
    <row r="813">
      <c r="K813" s="66"/>
    </row>
    <row r="814">
      <c r="K814" s="66"/>
    </row>
    <row r="815">
      <c r="K815" s="66"/>
    </row>
    <row r="816">
      <c r="K816" s="66"/>
    </row>
    <row r="817">
      <c r="K817" s="66"/>
    </row>
    <row r="818">
      <c r="K818" s="66"/>
    </row>
    <row r="819">
      <c r="K819" s="66"/>
    </row>
    <row r="820">
      <c r="K820" s="66"/>
    </row>
    <row r="821">
      <c r="K821" s="66"/>
    </row>
    <row r="822">
      <c r="K822" s="66"/>
    </row>
    <row r="823">
      <c r="K823" s="66"/>
    </row>
    <row r="824">
      <c r="K824" s="66"/>
    </row>
    <row r="825">
      <c r="K825" s="66"/>
    </row>
    <row r="826">
      <c r="K826" s="66"/>
    </row>
    <row r="827">
      <c r="K827" s="66"/>
    </row>
    <row r="828">
      <c r="K828" s="66"/>
    </row>
    <row r="829">
      <c r="K829" s="66"/>
    </row>
    <row r="830">
      <c r="K830" s="66"/>
    </row>
    <row r="831">
      <c r="K831" s="66"/>
    </row>
    <row r="832">
      <c r="K832" s="66"/>
    </row>
    <row r="833">
      <c r="K833" s="66"/>
    </row>
    <row r="834">
      <c r="K834" s="66"/>
    </row>
    <row r="835">
      <c r="K835" s="66"/>
    </row>
    <row r="836">
      <c r="K836" s="66"/>
    </row>
    <row r="837">
      <c r="K837" s="66"/>
    </row>
    <row r="838">
      <c r="K838" s="66"/>
    </row>
    <row r="839">
      <c r="K839" s="66"/>
    </row>
    <row r="840">
      <c r="K840" s="66"/>
    </row>
    <row r="841">
      <c r="K841" s="66"/>
    </row>
    <row r="842">
      <c r="K842" s="66"/>
    </row>
    <row r="843">
      <c r="K843" s="66"/>
    </row>
    <row r="844">
      <c r="K844" s="66"/>
    </row>
    <row r="845">
      <c r="K845" s="66"/>
    </row>
    <row r="846">
      <c r="K846" s="66"/>
    </row>
    <row r="847">
      <c r="K847" s="66"/>
    </row>
    <row r="848">
      <c r="K848" s="66"/>
    </row>
    <row r="849">
      <c r="K849" s="66"/>
    </row>
    <row r="850">
      <c r="K850" s="66"/>
    </row>
    <row r="851">
      <c r="K851" s="66"/>
    </row>
    <row r="852">
      <c r="K852" s="66"/>
    </row>
    <row r="853">
      <c r="K853" s="66"/>
    </row>
    <row r="854">
      <c r="K854" s="66"/>
    </row>
    <row r="855">
      <c r="K855" s="66"/>
    </row>
    <row r="856">
      <c r="K856" s="66"/>
    </row>
    <row r="857">
      <c r="K857" s="66"/>
    </row>
    <row r="858">
      <c r="K858" s="66"/>
    </row>
    <row r="859">
      <c r="K859" s="66"/>
    </row>
    <row r="860">
      <c r="K860" s="66"/>
    </row>
    <row r="861">
      <c r="K861" s="66"/>
    </row>
    <row r="862">
      <c r="K862" s="66"/>
    </row>
    <row r="863">
      <c r="K863" s="66"/>
    </row>
    <row r="864">
      <c r="K864" s="66"/>
    </row>
    <row r="865">
      <c r="K865" s="66"/>
    </row>
    <row r="866">
      <c r="K866" s="66"/>
    </row>
    <row r="867">
      <c r="K867" s="66"/>
    </row>
    <row r="868">
      <c r="K868" s="66"/>
    </row>
    <row r="869">
      <c r="K869" s="66"/>
    </row>
    <row r="870">
      <c r="K870" s="66"/>
    </row>
    <row r="871">
      <c r="K871" s="66"/>
    </row>
    <row r="872">
      <c r="K872" s="66"/>
    </row>
    <row r="873">
      <c r="K873" s="66"/>
    </row>
    <row r="874">
      <c r="K874" s="66"/>
    </row>
    <row r="875">
      <c r="K875" s="66"/>
    </row>
    <row r="876">
      <c r="K876" s="66"/>
    </row>
    <row r="877">
      <c r="K877" s="66"/>
    </row>
    <row r="878">
      <c r="K878" s="66"/>
    </row>
    <row r="879">
      <c r="K879" s="66"/>
    </row>
    <row r="880">
      <c r="K880" s="66"/>
    </row>
    <row r="881">
      <c r="K881" s="66"/>
    </row>
    <row r="882">
      <c r="K882" s="66"/>
    </row>
    <row r="883">
      <c r="K883" s="66"/>
    </row>
    <row r="884">
      <c r="K884" s="66"/>
    </row>
    <row r="885">
      <c r="K885" s="66"/>
    </row>
    <row r="886">
      <c r="K886" s="66"/>
    </row>
    <row r="887">
      <c r="K887" s="66"/>
    </row>
    <row r="888">
      <c r="K888" s="66"/>
    </row>
    <row r="889">
      <c r="K889" s="66"/>
    </row>
    <row r="890">
      <c r="K890" s="66"/>
    </row>
    <row r="891">
      <c r="K891" s="66"/>
    </row>
    <row r="892">
      <c r="K892" s="66"/>
    </row>
    <row r="893">
      <c r="K893" s="66"/>
    </row>
    <row r="894">
      <c r="K894" s="66"/>
    </row>
    <row r="895">
      <c r="K895" s="66"/>
    </row>
    <row r="896">
      <c r="K896" s="66"/>
    </row>
    <row r="897">
      <c r="K897" s="66"/>
    </row>
    <row r="898">
      <c r="K898" s="66"/>
    </row>
    <row r="899">
      <c r="K899" s="66"/>
    </row>
    <row r="900">
      <c r="K900" s="66"/>
    </row>
    <row r="901">
      <c r="K901" s="66"/>
    </row>
    <row r="902">
      <c r="K902" s="66"/>
    </row>
    <row r="903">
      <c r="K903" s="66"/>
    </row>
    <row r="904">
      <c r="K904" s="66"/>
    </row>
    <row r="905">
      <c r="K905" s="66"/>
    </row>
    <row r="906">
      <c r="K906" s="66"/>
    </row>
    <row r="907">
      <c r="K907" s="66"/>
    </row>
    <row r="908">
      <c r="K908" s="66"/>
    </row>
    <row r="909">
      <c r="K909" s="66"/>
    </row>
    <row r="910">
      <c r="K910" s="66"/>
    </row>
    <row r="911">
      <c r="K911" s="66"/>
    </row>
    <row r="912">
      <c r="K912" s="66"/>
    </row>
    <row r="913">
      <c r="K913" s="66"/>
    </row>
    <row r="914">
      <c r="K914" s="66"/>
    </row>
    <row r="915">
      <c r="K915" s="66"/>
    </row>
    <row r="916">
      <c r="K916" s="66"/>
    </row>
    <row r="917">
      <c r="K917" s="66"/>
    </row>
    <row r="918">
      <c r="K918" s="66"/>
    </row>
    <row r="919">
      <c r="K919" s="66"/>
    </row>
    <row r="920">
      <c r="K920" s="66"/>
    </row>
    <row r="921">
      <c r="K921" s="66"/>
    </row>
    <row r="922">
      <c r="K922" s="66"/>
    </row>
    <row r="923">
      <c r="K923" s="66"/>
    </row>
    <row r="924">
      <c r="K924" s="66"/>
    </row>
    <row r="925">
      <c r="K925" s="66"/>
    </row>
    <row r="926">
      <c r="K926" s="66"/>
    </row>
    <row r="927">
      <c r="K927" s="66"/>
    </row>
    <row r="928">
      <c r="K928" s="66"/>
    </row>
    <row r="929">
      <c r="K929" s="66"/>
    </row>
    <row r="930">
      <c r="K930" s="66"/>
    </row>
    <row r="931">
      <c r="K931" s="66"/>
    </row>
    <row r="932">
      <c r="K932" s="66"/>
    </row>
    <row r="933">
      <c r="K933" s="66"/>
    </row>
    <row r="934">
      <c r="K934" s="66"/>
    </row>
    <row r="935">
      <c r="K935" s="66"/>
    </row>
    <row r="936">
      <c r="K936" s="66"/>
    </row>
    <row r="937">
      <c r="K937" s="66"/>
    </row>
    <row r="938">
      <c r="K938" s="66"/>
    </row>
    <row r="939">
      <c r="K939" s="66"/>
    </row>
    <row r="940">
      <c r="K940" s="66"/>
    </row>
    <row r="941">
      <c r="K941" s="66"/>
    </row>
    <row r="942">
      <c r="K942" s="66"/>
    </row>
    <row r="943">
      <c r="K943" s="66"/>
    </row>
    <row r="944">
      <c r="K944" s="66"/>
    </row>
    <row r="945">
      <c r="K945" s="66"/>
    </row>
    <row r="946">
      <c r="K946" s="66"/>
    </row>
    <row r="947">
      <c r="K947" s="66"/>
    </row>
    <row r="948">
      <c r="K948" s="66"/>
    </row>
    <row r="949">
      <c r="K949" s="66"/>
    </row>
    <row r="950">
      <c r="K950" s="66"/>
    </row>
    <row r="951">
      <c r="K951" s="66"/>
    </row>
    <row r="952">
      <c r="K952" s="66"/>
    </row>
    <row r="953">
      <c r="K953" s="66"/>
    </row>
    <row r="954">
      <c r="K954" s="66"/>
    </row>
    <row r="955">
      <c r="K955" s="66"/>
    </row>
    <row r="956">
      <c r="K956" s="66"/>
    </row>
    <row r="957">
      <c r="K957" s="66"/>
    </row>
    <row r="958">
      <c r="K958" s="66"/>
    </row>
    <row r="959">
      <c r="K959" s="66"/>
    </row>
    <row r="960">
      <c r="K960" s="66"/>
    </row>
    <row r="961">
      <c r="K961" s="66"/>
    </row>
    <row r="962">
      <c r="K962" s="66"/>
    </row>
    <row r="963">
      <c r="K963" s="66"/>
    </row>
    <row r="964">
      <c r="K964" s="66"/>
    </row>
    <row r="965">
      <c r="K965" s="66"/>
    </row>
    <row r="966">
      <c r="K966" s="66"/>
    </row>
    <row r="967">
      <c r="K967" s="66"/>
    </row>
    <row r="968">
      <c r="K968" s="66"/>
    </row>
    <row r="969">
      <c r="K969" s="66"/>
    </row>
    <row r="970">
      <c r="K970" s="66"/>
    </row>
    <row r="971">
      <c r="K971" s="66"/>
    </row>
    <row r="972">
      <c r="K972" s="66"/>
    </row>
    <row r="973">
      <c r="K973" s="66"/>
    </row>
    <row r="974">
      <c r="K974" s="66"/>
    </row>
    <row r="975">
      <c r="K975" s="66"/>
    </row>
    <row r="976">
      <c r="K976" s="66"/>
    </row>
    <row r="977">
      <c r="K977" s="66"/>
    </row>
    <row r="978">
      <c r="K978" s="66"/>
    </row>
    <row r="979">
      <c r="K979" s="66"/>
    </row>
    <row r="980">
      <c r="K980" s="66"/>
    </row>
    <row r="981">
      <c r="K981" s="66"/>
    </row>
    <row r="982">
      <c r="K982" s="66"/>
    </row>
    <row r="983">
      <c r="K983" s="66"/>
    </row>
    <row r="984">
      <c r="K984" s="66"/>
    </row>
    <row r="985">
      <c r="K985" s="66"/>
    </row>
    <row r="986">
      <c r="K986" s="66"/>
    </row>
    <row r="987">
      <c r="K987" s="66"/>
    </row>
    <row r="988">
      <c r="K988" s="66"/>
    </row>
    <row r="989">
      <c r="K989" s="66"/>
    </row>
    <row r="990">
      <c r="K990" s="66"/>
    </row>
    <row r="991">
      <c r="K991" s="66"/>
    </row>
    <row r="992">
      <c r="K992" s="66"/>
    </row>
    <row r="993">
      <c r="K993" s="66"/>
    </row>
    <row r="994">
      <c r="K994" s="66"/>
    </row>
    <row r="995">
      <c r="K995" s="66"/>
    </row>
    <row r="996">
      <c r="K996" s="66"/>
    </row>
    <row r="997">
      <c r="K997" s="66"/>
    </row>
    <row r="998">
      <c r="K998" s="66"/>
    </row>
    <row r="999">
      <c r="K999" s="66"/>
    </row>
    <row r="1000">
      <c r="K1000" s="66"/>
    </row>
    <row r="1001">
      <c r="K1001" s="66"/>
    </row>
    <row r="1002">
      <c r="K1002" s="66"/>
    </row>
    <row r="1003">
      <c r="K1003" s="66"/>
    </row>
    <row r="1004">
      <c r="K1004" s="66"/>
    </row>
    <row r="1005">
      <c r="K1005" s="66"/>
    </row>
    <row r="1006">
      <c r="K1006" s="66"/>
    </row>
    <row r="1007">
      <c r="K1007" s="66"/>
    </row>
    <row r="1008">
      <c r="K1008" s="66"/>
    </row>
    <row r="1009">
      <c r="K1009" s="66"/>
    </row>
    <row r="1010">
      <c r="K1010" s="66"/>
    </row>
    <row r="1011">
      <c r="K1011" s="66"/>
    </row>
    <row r="1012">
      <c r="K1012" s="66"/>
    </row>
    <row r="1013">
      <c r="K1013" s="66"/>
    </row>
    <row r="1014">
      <c r="K1014" s="66"/>
    </row>
    <row r="1015">
      <c r="K1015" s="66"/>
    </row>
    <row r="1016">
      <c r="K1016" s="66"/>
    </row>
    <row r="1017">
      <c r="K1017" s="66"/>
    </row>
    <row r="1018">
      <c r="K1018" s="66"/>
    </row>
    <row r="1019">
      <c r="K1019" s="66"/>
    </row>
    <row r="1020">
      <c r="K1020" s="66"/>
    </row>
    <row r="1021">
      <c r="K1021" s="66"/>
    </row>
    <row r="1022">
      <c r="K1022" s="66"/>
    </row>
    <row r="1023">
      <c r="K1023" s="66"/>
    </row>
    <row r="1024">
      <c r="K1024" s="66"/>
    </row>
    <row r="1025">
      <c r="K1025" s="66"/>
    </row>
    <row r="1026">
      <c r="K1026" s="66"/>
    </row>
    <row r="1027">
      <c r="K1027" s="66"/>
    </row>
    <row r="1028">
      <c r="K1028" s="66"/>
    </row>
    <row r="1029">
      <c r="K1029" s="66"/>
    </row>
    <row r="1030">
      <c r="K1030" s="66"/>
    </row>
    <row r="1031">
      <c r="K1031" s="66"/>
    </row>
    <row r="1032">
      <c r="K1032" s="66"/>
    </row>
    <row r="1033">
      <c r="K1033" s="66"/>
    </row>
    <row r="1034">
      <c r="K1034" s="66"/>
    </row>
    <row r="1035">
      <c r="K1035" s="66"/>
    </row>
    <row r="1036">
      <c r="K1036" s="66"/>
    </row>
    <row r="1037">
      <c r="K1037" s="66"/>
    </row>
    <row r="1038">
      <c r="K1038" s="66"/>
    </row>
    <row r="1039">
      <c r="K1039" s="66"/>
    </row>
    <row r="1040">
      <c r="K1040" s="66"/>
    </row>
    <row r="1041">
      <c r="K1041" s="66"/>
    </row>
    <row r="1042">
      <c r="K1042" s="66"/>
    </row>
    <row r="1043">
      <c r="K1043" s="66"/>
    </row>
    <row r="1044">
      <c r="K1044" s="66"/>
    </row>
    <row r="1045">
      <c r="K1045" s="66"/>
    </row>
    <row r="1046">
      <c r="K1046" s="66"/>
    </row>
    <row r="1047">
      <c r="K1047" s="66"/>
    </row>
    <row r="1048">
      <c r="K1048" s="66"/>
    </row>
    <row r="1049">
      <c r="K1049" s="66"/>
    </row>
    <row r="1050">
      <c r="K1050" s="66"/>
    </row>
    <row r="1051">
      <c r="K1051" s="66"/>
    </row>
    <row r="1052">
      <c r="K1052" s="66"/>
    </row>
    <row r="1053">
      <c r="K1053" s="66"/>
    </row>
    <row r="1054">
      <c r="K1054" s="66"/>
    </row>
    <row r="1055">
      <c r="K1055" s="66"/>
    </row>
    <row r="1056">
      <c r="K1056" s="66"/>
    </row>
    <row r="1057">
      <c r="K1057" s="66"/>
    </row>
    <row r="1058">
      <c r="K1058" s="66"/>
    </row>
    <row r="1059">
      <c r="K1059" s="66"/>
    </row>
    <row r="1060">
      <c r="K1060" s="66"/>
    </row>
    <row r="1061">
      <c r="K1061" s="66"/>
    </row>
    <row r="1062">
      <c r="K1062" s="66"/>
    </row>
    <row r="1063">
      <c r="K1063" s="66"/>
    </row>
    <row r="1064">
      <c r="K1064" s="66"/>
    </row>
    <row r="1065">
      <c r="K1065" s="66"/>
    </row>
    <row r="1066">
      <c r="K1066" s="66"/>
    </row>
    <row r="1067">
      <c r="K1067" s="66"/>
    </row>
    <row r="1068">
      <c r="K1068" s="66"/>
    </row>
    <row r="1069">
      <c r="K1069" s="66"/>
    </row>
    <row r="1070">
      <c r="K1070" s="66"/>
    </row>
    <row r="1071">
      <c r="K1071" s="66"/>
    </row>
    <row r="1072">
      <c r="K1072" s="66"/>
    </row>
    <row r="1073">
      <c r="K1073" s="66"/>
    </row>
    <row r="1074">
      <c r="K1074" s="66"/>
    </row>
    <row r="1075">
      <c r="K1075" s="66"/>
    </row>
    <row r="1076">
      <c r="K1076" s="66"/>
    </row>
    <row r="1077">
      <c r="K1077" s="66"/>
    </row>
    <row r="1078">
      <c r="K1078" s="66"/>
    </row>
    <row r="1079">
      <c r="K1079" s="66"/>
    </row>
    <row r="1080">
      <c r="K1080" s="66"/>
    </row>
    <row r="1081">
      <c r="K1081" s="66"/>
    </row>
    <row r="1082">
      <c r="K1082" s="66"/>
    </row>
    <row r="1083">
      <c r="K1083" s="66"/>
    </row>
    <row r="1084">
      <c r="K1084" s="66"/>
    </row>
    <row r="1085">
      <c r="K1085" s="66"/>
    </row>
    <row r="1086">
      <c r="K1086" s="66"/>
    </row>
    <row r="1087">
      <c r="K1087" s="66"/>
    </row>
    <row r="1088">
      <c r="K1088" s="66"/>
    </row>
    <row r="1089">
      <c r="K1089" s="66"/>
    </row>
    <row r="1090">
      <c r="K1090" s="66"/>
    </row>
    <row r="1091">
      <c r="K1091" s="66"/>
    </row>
    <row r="1092">
      <c r="K1092" s="66"/>
    </row>
    <row r="1093">
      <c r="K1093" s="66"/>
    </row>
    <row r="1094">
      <c r="K1094" s="66"/>
    </row>
    <row r="1095">
      <c r="K1095" s="66"/>
    </row>
    <row r="1096">
      <c r="K1096" s="66"/>
    </row>
    <row r="1097">
      <c r="K1097" s="66"/>
    </row>
    <row r="1098">
      <c r="K1098" s="66"/>
    </row>
    <row r="1099">
      <c r="K1099" s="66"/>
    </row>
    <row r="1100">
      <c r="K1100" s="66"/>
    </row>
    <row r="1101">
      <c r="K1101" s="66"/>
    </row>
    <row r="1102">
      <c r="K1102" s="66"/>
    </row>
    <row r="1103">
      <c r="K1103" s="66"/>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1.38"/>
    <col customWidth="1" min="4" max="4" width="15.5"/>
    <col customWidth="1" min="5" max="5" width="29.63"/>
    <col customWidth="1" min="6" max="6" width="28.5"/>
  </cols>
  <sheetData>
    <row r="4">
      <c r="C4" s="2" t="s">
        <v>330</v>
      </c>
      <c r="D4" s="2" t="s">
        <v>331</v>
      </c>
      <c r="E4" s="2" t="s">
        <v>332</v>
      </c>
      <c r="F4" s="2" t="s">
        <v>333</v>
      </c>
    </row>
    <row r="5">
      <c r="A5" s="2" t="s">
        <v>334</v>
      </c>
      <c r="B5" s="2">
        <v>1000.0</v>
      </c>
      <c r="C5" s="42">
        <f>Model!B35*B5</f>
        <v>400000</v>
      </c>
      <c r="E5" s="12">
        <v>925000.0</v>
      </c>
      <c r="F5" s="12">
        <v>237500.0</v>
      </c>
    </row>
    <row r="6">
      <c r="A6" s="2" t="s">
        <v>335</v>
      </c>
      <c r="B6" s="112">
        <f>Model!$B$26*B7</f>
        <v>1152</v>
      </c>
    </row>
    <row r="7">
      <c r="A7" s="2" t="s">
        <v>300</v>
      </c>
      <c r="B7" s="2">
        <f>Model!$B$117</f>
        <v>36</v>
      </c>
      <c r="C7" s="42">
        <f>Model!E26*B7</f>
        <v>360000</v>
      </c>
      <c r="D7" s="7">
        <v>200000.0</v>
      </c>
    </row>
    <row r="8">
      <c r="A8" s="2" t="s">
        <v>336</v>
      </c>
      <c r="B8" s="2">
        <v>2.0</v>
      </c>
      <c r="C8" s="42">
        <f>'Ops Costs'!E197*B8</f>
        <v>57268</v>
      </c>
    </row>
    <row r="9">
      <c r="A9" s="2" t="s">
        <v>337</v>
      </c>
      <c r="C9" s="113">
        <f>SUM(C5:C8)</f>
        <v>817268</v>
      </c>
    </row>
    <row r="13">
      <c r="A13" s="2" t="s">
        <v>338</v>
      </c>
    </row>
    <row r="15">
      <c r="A15" s="2" t="s">
        <v>339</v>
      </c>
    </row>
    <row r="17">
      <c r="A17" s="2" t="s">
        <v>340</v>
      </c>
    </row>
    <row r="19">
      <c r="A19" s="2" t="s">
        <v>341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6" max="6" width="14.5"/>
    <col customWidth="1" min="7" max="7" width="51.25"/>
  </cols>
  <sheetData>
    <row r="1">
      <c r="A1" s="114" t="s">
        <v>342</v>
      </c>
      <c r="B1" s="114" t="s">
        <v>343</v>
      </c>
      <c r="C1" s="114">
        <v>7.0</v>
      </c>
      <c r="D1" s="114">
        <v>0.0</v>
      </c>
      <c r="E1" s="114"/>
      <c r="F1" s="115"/>
      <c r="G1" s="115"/>
      <c r="H1" s="116"/>
      <c r="I1" s="116"/>
      <c r="J1" s="116"/>
      <c r="K1" s="116"/>
      <c r="L1" s="116"/>
      <c r="M1" s="116"/>
      <c r="N1" s="116"/>
      <c r="O1" s="116"/>
      <c r="P1" s="116"/>
      <c r="Q1" s="116"/>
      <c r="R1" s="116"/>
      <c r="S1" s="116"/>
      <c r="T1" s="116"/>
      <c r="U1" s="116"/>
      <c r="V1" s="116"/>
      <c r="W1" s="116"/>
      <c r="X1" s="116"/>
      <c r="Y1" s="116"/>
      <c r="Z1" s="116"/>
    </row>
    <row r="2">
      <c r="A2" s="117" t="s">
        <v>344</v>
      </c>
      <c r="B2" s="117" t="s">
        <v>345</v>
      </c>
      <c r="C2" s="117" t="s">
        <v>346</v>
      </c>
      <c r="D2" s="117" t="s">
        <v>347</v>
      </c>
      <c r="E2" s="117" t="s">
        <v>348</v>
      </c>
      <c r="F2" s="118" t="s">
        <v>349</v>
      </c>
      <c r="G2" s="117" t="s">
        <v>350</v>
      </c>
    </row>
    <row r="3">
      <c r="A3" s="21"/>
      <c r="B3" s="21"/>
      <c r="C3" s="21"/>
      <c r="D3" s="21"/>
      <c r="E3" s="21"/>
      <c r="F3" s="21"/>
      <c r="G3" s="119"/>
    </row>
    <row r="4">
      <c r="A4" s="21" t="s">
        <v>351</v>
      </c>
      <c r="B4" s="21" t="s">
        <v>352</v>
      </c>
      <c r="C4" s="120"/>
      <c r="D4" s="120"/>
      <c r="E4" s="23">
        <f t="shared" ref="E4:E6" si="1">F4*2/12</f>
        <v>4583333333</v>
      </c>
      <c r="F4" s="23">
        <v>2.75E10</v>
      </c>
      <c r="G4" s="119" t="s">
        <v>353</v>
      </c>
    </row>
    <row r="5">
      <c r="A5" s="21" t="s">
        <v>354</v>
      </c>
      <c r="B5" s="21" t="s">
        <v>352</v>
      </c>
      <c r="C5" s="21"/>
      <c r="D5" s="21"/>
      <c r="E5" s="23">
        <f t="shared" si="1"/>
        <v>150166666667</v>
      </c>
      <c r="F5" s="23">
        <v>9.01E11</v>
      </c>
      <c r="G5" s="119" t="s">
        <v>353</v>
      </c>
    </row>
    <row r="6">
      <c r="A6" s="21" t="s">
        <v>355</v>
      </c>
      <c r="B6" s="21" t="s">
        <v>352</v>
      </c>
      <c r="C6" s="21"/>
      <c r="D6" s="21"/>
      <c r="E6" s="23">
        <f t="shared" si="1"/>
        <v>485000000000</v>
      </c>
      <c r="F6" s="23">
        <v>2.91E12</v>
      </c>
      <c r="G6" s="119" t="s">
        <v>353</v>
      </c>
    </row>
    <row r="7">
      <c r="A7" s="21"/>
      <c r="B7" s="21"/>
      <c r="C7" s="120"/>
      <c r="D7" s="120"/>
      <c r="E7" s="120"/>
      <c r="F7" s="120"/>
      <c r="G7" s="119"/>
    </row>
    <row r="8">
      <c r="A8" s="21" t="s">
        <v>356</v>
      </c>
      <c r="B8" s="21" t="s">
        <v>357</v>
      </c>
      <c r="C8" s="14">
        <v>50.0</v>
      </c>
      <c r="D8" s="14">
        <v>100.0</v>
      </c>
      <c r="E8" s="14">
        <v>5000.0</v>
      </c>
      <c r="F8" s="14">
        <v>5000.0</v>
      </c>
      <c r="G8" s="119" t="s">
        <v>358</v>
      </c>
    </row>
    <row r="9">
      <c r="A9" s="18" t="s">
        <v>359</v>
      </c>
      <c r="B9" s="21" t="s">
        <v>360</v>
      </c>
      <c r="C9" s="20">
        <v>0.1</v>
      </c>
      <c r="D9" s="20">
        <v>0.2</v>
      </c>
      <c r="E9" s="20">
        <v>0.2</v>
      </c>
      <c r="F9" s="20">
        <v>0.4</v>
      </c>
      <c r="G9" s="121" t="s">
        <v>361</v>
      </c>
    </row>
    <row r="10">
      <c r="A10" s="21"/>
      <c r="B10" s="21"/>
      <c r="C10" s="21"/>
      <c r="D10" s="21"/>
      <c r="E10" s="21"/>
      <c r="F10" s="21"/>
      <c r="G10" s="119"/>
    </row>
    <row r="11">
      <c r="A11" s="21" t="s">
        <v>362</v>
      </c>
      <c r="B11" s="21" t="s">
        <v>360</v>
      </c>
      <c r="C11" s="122">
        <f>16*562*2098*(189+12)*4/1000000000000</f>
        <v>0.01516763366</v>
      </c>
      <c r="D11" s="21"/>
      <c r="E11" s="21"/>
      <c r="F11" s="21"/>
      <c r="G11" s="119" t="s">
        <v>363</v>
      </c>
    </row>
    <row r="12">
      <c r="A12" s="21" t="s">
        <v>364</v>
      </c>
      <c r="B12" s="21" t="s">
        <v>365</v>
      </c>
      <c r="C12" s="14">
        <v>0.42</v>
      </c>
      <c r="D12" s="21"/>
      <c r="E12" s="21"/>
      <c r="F12" s="21"/>
      <c r="G12" s="121" t="s">
        <v>366</v>
      </c>
    </row>
    <row r="13">
      <c r="A13" s="21" t="s">
        <v>367</v>
      </c>
      <c r="B13" s="21" t="s">
        <v>365</v>
      </c>
      <c r="C13" s="123">
        <v>0.25</v>
      </c>
      <c r="D13" s="21"/>
      <c r="E13" s="21"/>
      <c r="F13" s="21"/>
      <c r="G13" s="121" t="s">
        <v>368</v>
      </c>
    </row>
    <row r="14">
      <c r="A14" s="18" t="s">
        <v>369</v>
      </c>
      <c r="B14" s="18" t="s">
        <v>365</v>
      </c>
      <c r="C14" s="124">
        <f>C11/C39/2</f>
        <v>0.00936473464</v>
      </c>
      <c r="D14" s="21"/>
      <c r="E14" s="21"/>
      <c r="F14" s="21"/>
      <c r="G14" s="121" t="s">
        <v>370</v>
      </c>
    </row>
    <row r="15">
      <c r="A15" s="21"/>
      <c r="B15" s="21"/>
      <c r="C15" s="21"/>
      <c r="D15" s="21"/>
      <c r="E15" s="21"/>
      <c r="F15" s="21"/>
      <c r="G15" s="119"/>
    </row>
    <row r="16">
      <c r="A16" s="21" t="s">
        <v>371</v>
      </c>
      <c r="B16" s="21" t="s">
        <v>372</v>
      </c>
      <c r="C16" s="14">
        <v>300.0</v>
      </c>
      <c r="D16" s="21"/>
      <c r="E16" s="21"/>
      <c r="F16" s="21"/>
      <c r="G16" s="119" t="s">
        <v>373</v>
      </c>
    </row>
    <row r="17">
      <c r="A17" s="21" t="s">
        <v>374</v>
      </c>
      <c r="B17" s="21" t="s">
        <v>375</v>
      </c>
      <c r="C17" s="14">
        <v>1000.0</v>
      </c>
      <c r="D17" s="21"/>
      <c r="E17" s="21"/>
      <c r="F17" s="21"/>
      <c r="G17" s="119" t="s">
        <v>373</v>
      </c>
    </row>
    <row r="18">
      <c r="A18" s="21" t="s">
        <v>376</v>
      </c>
      <c r="B18" s="21" t="s">
        <v>377</v>
      </c>
      <c r="C18" s="14">
        <v>2.0</v>
      </c>
      <c r="D18" s="21"/>
      <c r="E18" s="21"/>
      <c r="F18" s="21"/>
      <c r="G18" s="119"/>
    </row>
    <row r="19">
      <c r="A19" s="21" t="s">
        <v>378</v>
      </c>
      <c r="B19" s="21" t="s">
        <v>377</v>
      </c>
      <c r="C19" s="14">
        <v>500.0</v>
      </c>
      <c r="D19" s="21"/>
      <c r="E19" s="21"/>
      <c r="F19" s="21"/>
      <c r="G19" s="119"/>
    </row>
    <row r="20">
      <c r="A20" s="21" t="s">
        <v>379</v>
      </c>
      <c r="B20" s="21" t="s">
        <v>377</v>
      </c>
      <c r="C20" s="21"/>
      <c r="D20" s="21"/>
      <c r="E20" s="14">
        <f>F20*2/12</f>
        <v>100000</v>
      </c>
      <c r="F20" s="14">
        <f>nightsPerYear*visitsPerNight*imagesPerVisit</f>
        <v>600000</v>
      </c>
      <c r="G20" s="119" t="s">
        <v>380</v>
      </c>
    </row>
    <row r="21">
      <c r="A21" s="21" t="s">
        <v>381</v>
      </c>
      <c r="B21" s="21" t="s">
        <v>377</v>
      </c>
      <c r="C21" s="14">
        <f>0.5*D21</f>
        <v>25000</v>
      </c>
      <c r="D21" s="14">
        <f>E21</f>
        <v>50000</v>
      </c>
      <c r="E21" s="14">
        <f>0.5*E20</f>
        <v>50000</v>
      </c>
      <c r="F21" s="21"/>
      <c r="G21" s="119" t="s">
        <v>382</v>
      </c>
    </row>
    <row r="22">
      <c r="A22" s="21" t="s">
        <v>383</v>
      </c>
      <c r="B22" s="21" t="s">
        <v>377</v>
      </c>
      <c r="C22" s="14">
        <f>0.5*(C20+C21)</f>
        <v>12500</v>
      </c>
      <c r="D22" s="14">
        <f>0.25*(D20+D21)</f>
        <v>12500</v>
      </c>
      <c r="E22" s="14">
        <f>0.1*(E20+E21)</f>
        <v>15000</v>
      </c>
      <c r="F22" s="14">
        <f>0.01*F20</f>
        <v>6000</v>
      </c>
      <c r="G22" s="119" t="s">
        <v>384</v>
      </c>
    </row>
    <row r="23">
      <c r="A23" s="21" t="s">
        <v>385</v>
      </c>
      <c r="B23" s="21" t="s">
        <v>377</v>
      </c>
      <c r="C23" s="14">
        <f t="shared" ref="C23:D23" si="2">(C20+C21)*0.5</f>
        <v>12500</v>
      </c>
      <c r="D23" s="14">
        <f t="shared" si="2"/>
        <v>25000</v>
      </c>
      <c r="E23" s="14">
        <f>(E20+E21)*0.25</f>
        <v>37500</v>
      </c>
      <c r="F23" s="14">
        <f>nightsPerYear*calsPerDay</f>
        <v>150000</v>
      </c>
      <c r="G23" s="119" t="s">
        <v>386</v>
      </c>
    </row>
    <row r="24">
      <c r="A24" s="18" t="s">
        <v>387</v>
      </c>
      <c r="B24" s="18" t="s">
        <v>352</v>
      </c>
      <c r="C24" s="20">
        <v>2.0</v>
      </c>
      <c r="D24" s="21"/>
      <c r="E24" s="18"/>
      <c r="F24" s="18"/>
      <c r="G24" s="121" t="s">
        <v>388</v>
      </c>
    </row>
    <row r="25">
      <c r="A25" s="21" t="s">
        <v>389</v>
      </c>
      <c r="B25" s="21" t="s">
        <v>390</v>
      </c>
      <c r="C25" s="14"/>
      <c r="D25" s="21"/>
      <c r="E25" s="18">
        <v>1896.0</v>
      </c>
      <c r="F25" s="18">
        <v>1896.0</v>
      </c>
      <c r="G25" s="119" t="s">
        <v>391</v>
      </c>
    </row>
    <row r="26">
      <c r="A26" s="21" t="s">
        <v>392</v>
      </c>
      <c r="B26" s="21" t="s">
        <v>390</v>
      </c>
      <c r="C26" s="14"/>
      <c r="D26" s="21"/>
      <c r="E26" s="18">
        <v>21005.0</v>
      </c>
      <c r="F26" s="18">
        <v>21005.0</v>
      </c>
      <c r="G26" s="119" t="s">
        <v>391</v>
      </c>
    </row>
    <row r="27">
      <c r="A27" s="21" t="s">
        <v>393</v>
      </c>
      <c r="B27" s="21" t="s">
        <v>390</v>
      </c>
      <c r="C27" s="14"/>
      <c r="D27" s="21"/>
      <c r="E27" s="18">
        <v>467.0</v>
      </c>
      <c r="F27" s="18">
        <v>467.0</v>
      </c>
      <c r="G27" s="119" t="s">
        <v>391</v>
      </c>
    </row>
    <row r="28">
      <c r="A28" s="21" t="s">
        <v>394</v>
      </c>
      <c r="B28" s="21" t="s">
        <v>390</v>
      </c>
      <c r="C28" s="14"/>
      <c r="D28" s="21"/>
      <c r="E28" s="18">
        <v>41.0</v>
      </c>
      <c r="F28" s="18">
        <v>41.0</v>
      </c>
      <c r="G28" s="119" t="s">
        <v>391</v>
      </c>
    </row>
    <row r="29">
      <c r="A29" s="21" t="s">
        <v>395</v>
      </c>
      <c r="B29" s="21" t="s">
        <v>365</v>
      </c>
      <c r="C29" s="24">
        <v>3.0</v>
      </c>
      <c r="D29" s="125">
        <v>3.0</v>
      </c>
      <c r="E29" s="125">
        <v>3.0</v>
      </c>
      <c r="F29" s="125">
        <v>3.0</v>
      </c>
      <c r="G29" s="119"/>
    </row>
    <row r="30">
      <c r="A30" s="21"/>
      <c r="B30" s="21"/>
      <c r="C30" s="126"/>
      <c r="D30" s="126"/>
      <c r="E30" s="126"/>
      <c r="F30" s="126"/>
      <c r="G30" s="119"/>
    </row>
    <row r="31">
      <c r="A31" s="114" t="s">
        <v>396</v>
      </c>
      <c r="B31" s="114" t="s">
        <v>397</v>
      </c>
      <c r="C31" s="114">
        <v>7.0</v>
      </c>
      <c r="D31" s="114">
        <v>0.0</v>
      </c>
      <c r="E31" s="126"/>
      <c r="F31" s="126"/>
      <c r="G31" s="119"/>
    </row>
    <row r="32">
      <c r="A32" s="117" t="s">
        <v>398</v>
      </c>
      <c r="B32" s="117" t="s">
        <v>345</v>
      </c>
      <c r="C32" s="117" t="s">
        <v>346</v>
      </c>
      <c r="D32" s="117" t="s">
        <v>347</v>
      </c>
      <c r="E32" s="117" t="s">
        <v>348</v>
      </c>
      <c r="F32" s="118" t="s">
        <v>349</v>
      </c>
      <c r="G32" s="117" t="s">
        <v>350</v>
      </c>
    </row>
    <row r="33">
      <c r="A33" s="18" t="s">
        <v>399</v>
      </c>
      <c r="B33" s="18" t="s">
        <v>400</v>
      </c>
      <c r="C33" s="24">
        <v>8.5</v>
      </c>
      <c r="D33" s="24">
        <v>8.5</v>
      </c>
      <c r="E33" s="24">
        <v>8.5</v>
      </c>
      <c r="F33" s="24">
        <v>8.5</v>
      </c>
      <c r="G33" s="121"/>
    </row>
    <row r="34">
      <c r="A34" s="18" t="s">
        <v>401</v>
      </c>
      <c r="B34" s="18" t="s">
        <v>400</v>
      </c>
      <c r="C34" s="127">
        <v>300.0</v>
      </c>
      <c r="D34" s="127">
        <v>300.0</v>
      </c>
      <c r="E34" s="127">
        <v>300.0</v>
      </c>
      <c r="F34" s="127">
        <v>300.0</v>
      </c>
      <c r="G34" s="121"/>
    </row>
    <row r="35">
      <c r="A35" s="18" t="s">
        <v>402</v>
      </c>
      <c r="B35" s="18" t="s">
        <v>400</v>
      </c>
      <c r="C35" s="127">
        <v>300.0</v>
      </c>
      <c r="D35" s="127">
        <v>300.0</v>
      </c>
      <c r="E35" s="127">
        <v>300.0</v>
      </c>
      <c r="F35" s="127">
        <v>300.0</v>
      </c>
      <c r="G35" s="119"/>
    </row>
    <row r="36">
      <c r="A36" s="18" t="s">
        <v>403</v>
      </c>
      <c r="B36" s="18" t="s">
        <v>400</v>
      </c>
      <c r="C36" s="29"/>
      <c r="D36" s="29"/>
      <c r="E36" s="127">
        <v>2000.0</v>
      </c>
      <c r="F36" s="127">
        <v>17000.0</v>
      </c>
      <c r="G36" s="119"/>
    </row>
    <row r="37">
      <c r="A37" s="21"/>
      <c r="B37" s="21"/>
      <c r="C37" s="29"/>
      <c r="D37" s="29"/>
      <c r="E37" s="29"/>
      <c r="F37" s="29"/>
      <c r="G37" s="119"/>
    </row>
    <row r="38">
      <c r="A38" s="21" t="s">
        <v>404</v>
      </c>
      <c r="B38" s="21" t="s">
        <v>360</v>
      </c>
      <c r="C38" s="29">
        <f>4.5/57000*visitsPerNight*nightsPerYear*0.5</f>
        <v>11.84210526</v>
      </c>
      <c r="D38" s="29">
        <f>4.5/57000*visitsPerNight*nightsPerYear</f>
        <v>23.68421053</v>
      </c>
      <c r="E38" s="29">
        <f>4.5/57000*visitsPerNight*nightsPerYear</f>
        <v>23.68421053</v>
      </c>
      <c r="F38" s="29">
        <f>4.5/57000*visitsPerNight*nightsPerYear</f>
        <v>23.68421053</v>
      </c>
      <c r="G38" s="119" t="s">
        <v>405</v>
      </c>
    </row>
    <row r="39">
      <c r="A39" s="21" t="s">
        <v>406</v>
      </c>
      <c r="B39" s="21" t="s">
        <v>360</v>
      </c>
      <c r="C39" s="128">
        <f>44496*18.2/1000000</f>
        <v>0.8098272</v>
      </c>
      <c r="D39" s="128">
        <f t="shared" ref="D39:F39" si="3">C39</f>
        <v>0.8098272</v>
      </c>
      <c r="E39" s="128">
        <f t="shared" si="3"/>
        <v>0.8098272</v>
      </c>
      <c r="F39" s="128">
        <f t="shared" si="3"/>
        <v>0.8098272</v>
      </c>
      <c r="G39" s="121" t="s">
        <v>407</v>
      </c>
    </row>
    <row r="40">
      <c r="A40" s="18" t="s">
        <v>408</v>
      </c>
      <c r="B40" s="18" t="s">
        <v>360</v>
      </c>
      <c r="C40" s="24">
        <v>2.4</v>
      </c>
      <c r="D40" s="128">
        <f t="shared" ref="D40:F40" si="4">C40</f>
        <v>2.4</v>
      </c>
      <c r="E40" s="128">
        <f t="shared" si="4"/>
        <v>2.4</v>
      </c>
      <c r="F40" s="128">
        <f t="shared" si="4"/>
        <v>2.4</v>
      </c>
      <c r="G40" s="121" t="s">
        <v>409</v>
      </c>
    </row>
    <row r="41">
      <c r="A41" s="18" t="s">
        <v>410</v>
      </c>
      <c r="B41" s="21" t="s">
        <v>360</v>
      </c>
      <c r="C41" s="24">
        <v>0.675</v>
      </c>
      <c r="D41" s="128">
        <f t="shared" ref="D41:F41" si="5">C41</f>
        <v>0.675</v>
      </c>
      <c r="E41" s="128">
        <f t="shared" si="5"/>
        <v>0.675</v>
      </c>
      <c r="F41" s="128">
        <f t="shared" si="5"/>
        <v>0.675</v>
      </c>
      <c r="G41" s="121" t="s">
        <v>411</v>
      </c>
    </row>
    <row r="42">
      <c r="A42" s="18" t="s">
        <v>412</v>
      </c>
      <c r="B42" s="21" t="s">
        <v>360</v>
      </c>
      <c r="C42" s="128">
        <f>(221+486+540+172)/1000</f>
        <v>1.419</v>
      </c>
      <c r="D42" s="128">
        <f t="shared" ref="D42:F42" si="6">C42</f>
        <v>1.419</v>
      </c>
      <c r="E42" s="128">
        <f t="shared" si="6"/>
        <v>1.419</v>
      </c>
      <c r="F42" s="128">
        <f t="shared" si="6"/>
        <v>1.419</v>
      </c>
      <c r="G42" s="119"/>
    </row>
    <row r="43">
      <c r="A43" s="18" t="s">
        <v>413</v>
      </c>
      <c r="B43" s="21" t="s">
        <v>360</v>
      </c>
      <c r="C43" s="128">
        <f>2564358*2*18.2/1000000</f>
        <v>93.3426312</v>
      </c>
      <c r="D43" s="128">
        <f t="shared" ref="D43:F43" si="7">C43</f>
        <v>93.3426312</v>
      </c>
      <c r="E43" s="128">
        <f t="shared" si="7"/>
        <v>93.3426312</v>
      </c>
      <c r="F43" s="128">
        <f t="shared" si="7"/>
        <v>93.3426312</v>
      </c>
      <c r="G43" s="121" t="s">
        <v>414</v>
      </c>
    </row>
    <row r="44">
      <c r="A44" s="21" t="s">
        <v>415</v>
      </c>
      <c r="B44" s="21" t="s">
        <v>360</v>
      </c>
      <c r="C44" s="29">
        <f>300/10*1000*lsstCamImageSize</f>
        <v>455.0290099</v>
      </c>
      <c r="D44" s="29">
        <f>300/10*1000*lsstCamImageSize</f>
        <v>455.0290099</v>
      </c>
      <c r="E44" s="29">
        <f>300/10*1000*lsstCamImageSize</f>
        <v>455.0290099</v>
      </c>
      <c r="F44" s="29">
        <f>300/10*1000*lsstCamImageSize</f>
        <v>455.0290099</v>
      </c>
      <c r="G44" s="119" t="s">
        <v>416</v>
      </c>
    </row>
    <row r="45">
      <c r="A45" s="18" t="s">
        <v>417</v>
      </c>
      <c r="B45" s="21"/>
      <c r="C45" s="29"/>
      <c r="D45" s="29"/>
      <c r="E45" s="29"/>
      <c r="F45" s="29"/>
      <c r="G45" s="121"/>
    </row>
    <row r="46">
      <c r="A46" s="21" t="s">
        <v>418</v>
      </c>
      <c r="B46" s="21" t="s">
        <v>360</v>
      </c>
      <c r="C46" s="29">
        <f>sum(C20:C23)*lsstCamImageSize*rawCompression</f>
        <v>318.5203069</v>
      </c>
      <c r="D46" s="29">
        <f>sum(D20:D23)*lsstCamImageSize*rawCompression</f>
        <v>557.4105372</v>
      </c>
      <c r="E46" s="29">
        <f>sum(E20:E23)*lsstCamImageSize*rawCompression</f>
        <v>1290.007243</v>
      </c>
      <c r="F46" s="29">
        <f>sum(F20:F23)*lsstCamImageSize*rawCompression</f>
        <v>4816.027041</v>
      </c>
      <c r="G46" s="121" t="s">
        <v>419</v>
      </c>
    </row>
    <row r="47">
      <c r="A47" s="18" t="s">
        <v>420</v>
      </c>
      <c r="B47" s="18" t="s">
        <v>360</v>
      </c>
      <c r="C47" s="120"/>
      <c r="D47" s="120"/>
      <c r="E47" s="29">
        <f t="shared" ref="E47:F47" si="8">E36/$C$33*E41*$C$24</f>
        <v>317.6470588</v>
      </c>
      <c r="F47" s="29">
        <f t="shared" si="8"/>
        <v>2700</v>
      </c>
      <c r="G47" s="121" t="s">
        <v>421</v>
      </c>
    </row>
    <row r="48">
      <c r="A48" s="18" t="s">
        <v>422</v>
      </c>
      <c r="B48" s="18"/>
      <c r="C48" s="29"/>
      <c r="D48" s="29"/>
      <c r="E48" s="29"/>
      <c r="F48" s="29"/>
      <c r="G48" s="121"/>
    </row>
    <row r="49">
      <c r="A49" s="18" t="s">
        <v>423</v>
      </c>
      <c r="B49" s="18" t="s">
        <v>360</v>
      </c>
      <c r="C49" s="29">
        <f t="shared" ref="C49:F49" si="9">C39+C43+C44</f>
        <v>549.1814683</v>
      </c>
      <c r="D49" s="29">
        <f t="shared" si="9"/>
        <v>549.1814683</v>
      </c>
      <c r="E49" s="29">
        <f t="shared" si="9"/>
        <v>549.1814683</v>
      </c>
      <c r="F49" s="29">
        <f t="shared" si="9"/>
        <v>549.1814683</v>
      </c>
      <c r="G49" s="121" t="s">
        <v>424</v>
      </c>
    </row>
    <row r="50">
      <c r="A50" s="21" t="s">
        <v>425</v>
      </c>
      <c r="B50" s="21" t="s">
        <v>360</v>
      </c>
      <c r="C50" s="29">
        <f t="shared" ref="C50:F50" si="10">(C40+C41*$C$24)*12*2+(C40*C43/C39+C41*$C$24*C34/$C$33)*2</f>
        <v>738.5536646</v>
      </c>
      <c r="D50" s="29">
        <f t="shared" si="10"/>
        <v>738.5536646</v>
      </c>
      <c r="E50" s="29">
        <f t="shared" si="10"/>
        <v>738.5536646</v>
      </c>
      <c r="F50" s="29">
        <f t="shared" si="10"/>
        <v>738.5536646</v>
      </c>
      <c r="G50" s="119" t="s">
        <v>426</v>
      </c>
    </row>
    <row r="51">
      <c r="A51" s="21" t="s">
        <v>427</v>
      </c>
      <c r="B51" s="21" t="s">
        <v>360</v>
      </c>
      <c r="C51" s="29">
        <f t="shared" ref="C51:F51" si="11">C42*12*2+C42*C43/C39*2</f>
        <v>361.1707071</v>
      </c>
      <c r="D51" s="29">
        <f t="shared" si="11"/>
        <v>361.1707071</v>
      </c>
      <c r="E51" s="29">
        <f t="shared" si="11"/>
        <v>361.1707071</v>
      </c>
      <c r="F51" s="29">
        <f t="shared" si="11"/>
        <v>361.1707071</v>
      </c>
      <c r="G51" s="119"/>
    </row>
    <row r="52">
      <c r="A52" s="21" t="s">
        <v>428</v>
      </c>
      <c r="B52" s="21" t="s">
        <v>360</v>
      </c>
      <c r="C52" s="21"/>
      <c r="D52" s="120"/>
      <c r="E52" s="29">
        <f>lsstCamScienceImages*lsstCamImageToHscRatio/imagesPerVisit*E40</f>
        <v>1123.768157</v>
      </c>
      <c r="F52" s="29">
        <f>lsstCamScienceImages*lsstCamImageToHscRatio/imagesPerVisit*F40</f>
        <v>6742.608941</v>
      </c>
      <c r="G52" s="119" t="s">
        <v>429</v>
      </c>
    </row>
    <row r="53">
      <c r="A53" s="21" t="s">
        <v>430</v>
      </c>
      <c r="B53" s="21" t="s">
        <v>360</v>
      </c>
      <c r="C53" s="120"/>
      <c r="D53" s="120"/>
      <c r="E53" s="29">
        <f>lsstCamScienceImages*lsstCamImageToHscRatio/imagesPerVisit*E42</f>
        <v>664.4279227</v>
      </c>
      <c r="F53" s="29">
        <f>lsstCamScienceImages*lsstCamImageToHscRatio/imagesPerVisit*F42</f>
        <v>3986.567536</v>
      </c>
      <c r="G53" s="121" t="s">
        <v>431</v>
      </c>
    </row>
    <row r="54">
      <c r="A54" s="21" t="s">
        <v>432</v>
      </c>
      <c r="B54" s="21" t="s">
        <v>360</v>
      </c>
      <c r="C54" s="120"/>
      <c r="D54" s="120"/>
      <c r="E54" s="29">
        <f t="shared" ref="E54:F54" si="12">E52*0.1</f>
        <v>112.3768157</v>
      </c>
      <c r="F54" s="29">
        <f t="shared" si="12"/>
        <v>674.2608941</v>
      </c>
      <c r="G54" s="119" t="s">
        <v>433</v>
      </c>
    </row>
    <row r="55">
      <c r="A55" s="21" t="s">
        <v>434</v>
      </c>
      <c r="B55" s="21" t="s">
        <v>360</v>
      </c>
      <c r="C55" s="120"/>
      <c r="D55" s="120"/>
      <c r="E55" s="29">
        <f>objectCount*objectRowSize*qservReplication/1000000000000</f>
        <v>26.07</v>
      </c>
      <c r="F55" s="29">
        <f>objectCount*objectRowSize*qservReplication/1000000000000</f>
        <v>156.42</v>
      </c>
      <c r="G55" s="119" t="s">
        <v>435</v>
      </c>
    </row>
    <row r="56">
      <c r="A56" s="21" t="s">
        <v>436</v>
      </c>
      <c r="B56" s="21" t="s">
        <v>360</v>
      </c>
      <c r="C56" s="29">
        <f>(C42+C51+C53)*qservReplication</f>
        <v>1087.769121</v>
      </c>
      <c r="D56" s="29">
        <f>(D42+D51+D53)*qservReplication</f>
        <v>1087.769121</v>
      </c>
      <c r="E56" s="29">
        <f>(objectCount*(objectRowSize+objectExtraRowSize)+sourceCount*sourceRowSize+forcedSourceCount*forcedSourceRowSize)/1000000000000*qservReplication</f>
        <v>584.92725</v>
      </c>
      <c r="F56" s="29">
        <f>(objectCount*(objectRowSize+objectExtraRowSize)+sourceCount*sourceRowSize+forcedSourceCount*forcedSourceRowSize)/1000000000000*qservReplication</f>
        <v>3509.5635</v>
      </c>
      <c r="G56" s="129" t="s">
        <v>437</v>
      </c>
    </row>
    <row r="57">
      <c r="A57" s="21" t="s">
        <v>438</v>
      </c>
      <c r="B57" s="21" t="s">
        <v>360</v>
      </c>
      <c r="C57" s="29">
        <f>scienceUsers*tbPerScienceUser</f>
        <v>5</v>
      </c>
      <c r="D57" s="29">
        <f>scienceUsers*tbPerScienceUser</f>
        <v>20</v>
      </c>
      <c r="E57" s="29">
        <f>scienceUsers*tbPerScienceUser</f>
        <v>1000</v>
      </c>
      <c r="F57" s="29">
        <f>scienceUsers*tbPerScienceUser</f>
        <v>2000</v>
      </c>
      <c r="G57" s="119"/>
    </row>
    <row r="58">
      <c r="A58" s="21" t="s">
        <v>439</v>
      </c>
      <c r="B58" s="21" t="s">
        <v>360</v>
      </c>
      <c r="C58" s="29">
        <f t="shared" ref="C58:F58" si="13">0.2*sum(C38:C57)</f>
        <v>725.1425684</v>
      </c>
      <c r="D58" s="29">
        <f t="shared" si="13"/>
        <v>778.2890355</v>
      </c>
      <c r="E58" s="29">
        <f t="shared" si="13"/>
        <v>1469.097993</v>
      </c>
      <c r="F58" s="29">
        <f t="shared" si="13"/>
        <v>5362.342686</v>
      </c>
      <c r="G58" s="119" t="s">
        <v>440</v>
      </c>
    </row>
    <row r="59">
      <c r="A59" s="21"/>
      <c r="B59" s="21"/>
      <c r="C59" s="120"/>
      <c r="D59" s="120"/>
      <c r="E59" s="120"/>
      <c r="F59" s="120"/>
      <c r="G59" s="119"/>
    </row>
    <row r="60">
      <c r="A60" s="114" t="s">
        <v>441</v>
      </c>
      <c r="B60" s="114" t="s">
        <v>442</v>
      </c>
      <c r="C60" s="114">
        <v>7.0</v>
      </c>
      <c r="D60" s="114">
        <v>0.0</v>
      </c>
      <c r="E60" s="130" t="s">
        <v>154</v>
      </c>
      <c r="F60" s="120"/>
      <c r="G60" s="119"/>
    </row>
    <row r="61">
      <c r="A61" s="117" t="s">
        <v>443</v>
      </c>
      <c r="B61" s="117" t="s">
        <v>345</v>
      </c>
      <c r="C61" s="117" t="s">
        <v>346</v>
      </c>
      <c r="D61" s="117" t="s">
        <v>347</v>
      </c>
      <c r="E61" s="117" t="s">
        <v>348</v>
      </c>
      <c r="F61" s="118" t="s">
        <v>349</v>
      </c>
      <c r="G61" s="117" t="s">
        <v>350</v>
      </c>
    </row>
    <row r="62">
      <c r="A62" s="18" t="s">
        <v>404</v>
      </c>
      <c r="B62" s="18" t="s">
        <v>360</v>
      </c>
      <c r="C62" s="29">
        <f t="shared" ref="C62:F62" si="14">C38</f>
        <v>11.84210526</v>
      </c>
      <c r="D62" s="29">
        <f t="shared" si="14"/>
        <v>23.68421053</v>
      </c>
      <c r="E62" s="29">
        <f t="shared" si="14"/>
        <v>23.68421053</v>
      </c>
      <c r="F62" s="29">
        <f t="shared" si="14"/>
        <v>23.68421053</v>
      </c>
      <c r="G62" s="119"/>
    </row>
    <row r="63">
      <c r="A63" s="18" t="s">
        <v>434</v>
      </c>
      <c r="B63" s="18" t="s">
        <v>360</v>
      </c>
      <c r="C63" s="29" t="str">
        <f t="shared" ref="C63:E63" si="15">C55</f>
        <v/>
      </c>
      <c r="D63" s="29" t="str">
        <f t="shared" si="15"/>
        <v/>
      </c>
      <c r="E63" s="29">
        <f t="shared" si="15"/>
        <v>26.07</v>
      </c>
      <c r="F63" s="29">
        <f>E63+F55</f>
        <v>182.49</v>
      </c>
      <c r="G63" s="121" t="s">
        <v>444</v>
      </c>
    </row>
    <row r="64">
      <c r="A64" s="131" t="s">
        <v>445</v>
      </c>
      <c r="B64" s="132" t="s">
        <v>360</v>
      </c>
      <c r="C64" s="133">
        <f t="shared" ref="C64:E64" si="16">sum(C62:C63)</f>
        <v>11.84210526</v>
      </c>
      <c r="D64" s="133">
        <f t="shared" si="16"/>
        <v>23.68421053</v>
      </c>
      <c r="E64" s="133">
        <f t="shared" si="16"/>
        <v>49.75421053</v>
      </c>
      <c r="F64" s="133">
        <f>sum(F62:F63)/reduceDisk</f>
        <v>206.1742105</v>
      </c>
      <c r="G64" s="121" t="s">
        <v>446</v>
      </c>
    </row>
    <row r="65">
      <c r="A65" s="18"/>
      <c r="B65" s="21"/>
      <c r="C65" s="29"/>
      <c r="D65" s="29"/>
      <c r="E65" s="29"/>
      <c r="F65" s="29"/>
      <c r="G65" s="121"/>
    </row>
    <row r="66">
      <c r="A66" s="131" t="s">
        <v>447</v>
      </c>
      <c r="B66" s="132" t="s">
        <v>360</v>
      </c>
      <c r="C66" s="133">
        <f t="shared" ref="C66:E66" si="17">sum(C49:C58)</f>
        <v>3466.81753</v>
      </c>
      <c r="D66" s="133">
        <f t="shared" si="17"/>
        <v>3534.963997</v>
      </c>
      <c r="E66" s="133">
        <f t="shared" si="17"/>
        <v>6629.573978</v>
      </c>
      <c r="F66" s="133">
        <f>sum(F49:F58)/reduceDisk</f>
        <v>24080.6694</v>
      </c>
      <c r="G66" s="121" t="s">
        <v>448</v>
      </c>
    </row>
    <row r="67">
      <c r="A67" s="18"/>
      <c r="B67" s="18"/>
      <c r="C67" s="29"/>
      <c r="D67" s="29"/>
      <c r="E67" s="29"/>
      <c r="F67" s="29"/>
      <c r="G67" s="121"/>
    </row>
    <row r="68">
      <c r="A68" s="131" t="s">
        <v>449</v>
      </c>
      <c r="B68" s="131" t="s">
        <v>360</v>
      </c>
      <c r="C68" s="133">
        <f t="shared" ref="C68:E68" si="18">C56</f>
        <v>1087.769121</v>
      </c>
      <c r="D68" s="133">
        <f t="shared" si="18"/>
        <v>1087.769121</v>
      </c>
      <c r="E68" s="133">
        <f t="shared" si="18"/>
        <v>584.92725</v>
      </c>
      <c r="F68" s="133">
        <f>(F56+E56)/reduceDisk</f>
        <v>4094.49075</v>
      </c>
      <c r="G68" s="121" t="s">
        <v>450</v>
      </c>
    </row>
    <row r="69">
      <c r="A69" s="18"/>
      <c r="B69" s="21"/>
      <c r="C69" s="29"/>
      <c r="D69" s="29"/>
      <c r="E69" s="29"/>
      <c r="F69" s="29"/>
      <c r="G69" s="119"/>
    </row>
    <row r="70">
      <c r="A70" s="18" t="s">
        <v>418</v>
      </c>
      <c r="B70" s="21" t="s">
        <v>360</v>
      </c>
      <c r="C70" s="29">
        <f t="shared" ref="C70:F70" si="19">sum($C46:C46)</f>
        <v>318.5203069</v>
      </c>
      <c r="D70" s="29">
        <f t="shared" si="19"/>
        <v>875.9308441</v>
      </c>
      <c r="E70" s="29">
        <f t="shared" si="19"/>
        <v>2165.938087</v>
      </c>
      <c r="F70" s="29">
        <f t="shared" si="19"/>
        <v>6981.965128</v>
      </c>
      <c r="G70" s="119" t="s">
        <v>444</v>
      </c>
    </row>
    <row r="71">
      <c r="A71" s="18" t="s">
        <v>428</v>
      </c>
      <c r="B71" s="18" t="s">
        <v>360</v>
      </c>
      <c r="C71" s="29"/>
      <c r="D71" s="29"/>
      <c r="E71" s="29">
        <f>E52*lossyCompression</f>
        <v>280.9420392</v>
      </c>
      <c r="F71" s="29">
        <f>F52*lossyCompression+E71</f>
        <v>1966.594274</v>
      </c>
      <c r="G71" s="119" t="s">
        <v>451</v>
      </c>
    </row>
    <row r="72">
      <c r="A72" s="134" t="s">
        <v>420</v>
      </c>
      <c r="B72" s="18" t="s">
        <v>360</v>
      </c>
      <c r="C72" s="29"/>
      <c r="D72" s="29"/>
      <c r="E72" s="29">
        <f>E47</f>
        <v>317.6470588</v>
      </c>
      <c r="F72" s="29">
        <f>F47+E47</f>
        <v>3017.647059</v>
      </c>
      <c r="G72" s="121" t="s">
        <v>444</v>
      </c>
    </row>
    <row r="73">
      <c r="A73" s="21" t="s">
        <v>430</v>
      </c>
      <c r="B73" s="21" t="s">
        <v>360</v>
      </c>
      <c r="C73" s="29" t="str">
        <f t="shared" ref="C73:E73" si="20">C53</f>
        <v/>
      </c>
      <c r="D73" s="29" t="str">
        <f t="shared" si="20"/>
        <v/>
      </c>
      <c r="E73" s="29">
        <f t="shared" si="20"/>
        <v>664.4279227</v>
      </c>
      <c r="F73" s="29">
        <f>F53+E53</f>
        <v>4650.995459</v>
      </c>
      <c r="G73" s="119" t="s">
        <v>444</v>
      </c>
    </row>
    <row r="74">
      <c r="A74" s="131" t="s">
        <v>452</v>
      </c>
      <c r="B74" s="132" t="s">
        <v>360</v>
      </c>
      <c r="C74" s="133">
        <f t="shared" ref="C74:F74" si="21">sum(C70:C73)</f>
        <v>318.5203069</v>
      </c>
      <c r="D74" s="133">
        <f t="shared" si="21"/>
        <v>875.9308441</v>
      </c>
      <c r="E74" s="133">
        <f t="shared" si="21"/>
        <v>3428.955108</v>
      </c>
      <c r="F74" s="133">
        <f t="shared" si="21"/>
        <v>16617.20192</v>
      </c>
      <c r="G74" s="121" t="s">
        <v>453</v>
      </c>
    </row>
    <row r="75">
      <c r="A75" s="18"/>
      <c r="B75" s="18"/>
      <c r="C75" s="29"/>
      <c r="D75" s="29"/>
      <c r="E75" s="29"/>
      <c r="F75" s="29"/>
      <c r="G75" s="119"/>
    </row>
    <row r="76">
      <c r="A76" s="18" t="s">
        <v>418</v>
      </c>
      <c r="B76" s="18" t="s">
        <v>360</v>
      </c>
      <c r="C76" s="29">
        <f t="shared" ref="C76:F76" si="22">C70</f>
        <v>318.5203069</v>
      </c>
      <c r="D76" s="29">
        <f t="shared" si="22"/>
        <v>875.9308441</v>
      </c>
      <c r="E76" s="29">
        <f t="shared" si="22"/>
        <v>2165.938087</v>
      </c>
      <c r="F76" s="29">
        <f t="shared" si="22"/>
        <v>6981.965128</v>
      </c>
      <c r="G76" s="121" t="s">
        <v>444</v>
      </c>
    </row>
    <row r="77">
      <c r="A77" s="18" t="s">
        <v>454</v>
      </c>
      <c r="B77" s="18" t="s">
        <v>360</v>
      </c>
      <c r="C77" s="29">
        <f>C66-sum(C54:C56)</f>
        <v>2379.048408</v>
      </c>
      <c r="D77" s="29">
        <f t="shared" ref="D77:F77" si="23">D66-sum(D54:D56)+C77</f>
        <v>4826.243284</v>
      </c>
      <c r="E77" s="29">
        <f t="shared" si="23"/>
        <v>10732.4432</v>
      </c>
      <c r="F77" s="29">
        <f t="shared" si="23"/>
        <v>30472.8682</v>
      </c>
      <c r="G77" s="121" t="s">
        <v>455</v>
      </c>
    </row>
    <row r="78">
      <c r="A78" s="18" t="s">
        <v>456</v>
      </c>
      <c r="B78" s="18" t="s">
        <v>360</v>
      </c>
      <c r="C78" s="29">
        <f t="shared" ref="C78:F78" si="24">sum($C47:C47)</f>
        <v>0</v>
      </c>
      <c r="D78" s="29">
        <f t="shared" si="24"/>
        <v>0</v>
      </c>
      <c r="E78" s="29">
        <f t="shared" si="24"/>
        <v>317.6470588</v>
      </c>
      <c r="F78" s="29">
        <f t="shared" si="24"/>
        <v>3017.647059</v>
      </c>
      <c r="G78" s="121" t="s">
        <v>444</v>
      </c>
    </row>
    <row r="79">
      <c r="A79" s="131" t="s">
        <v>457</v>
      </c>
      <c r="B79" s="132" t="s">
        <v>360</v>
      </c>
      <c r="C79" s="133">
        <f t="shared" ref="C79:F79" si="25">sum(C76:C78)</f>
        <v>2697.568715</v>
      </c>
      <c r="D79" s="135">
        <f t="shared" si="25"/>
        <v>5702.174128</v>
      </c>
      <c r="E79" s="135">
        <f t="shared" si="25"/>
        <v>13216.02834</v>
      </c>
      <c r="F79" s="135">
        <f t="shared" si="25"/>
        <v>40472.48039</v>
      </c>
      <c r="G79" s="121" t="s">
        <v>458</v>
      </c>
    </row>
    <row r="80">
      <c r="A80" s="2"/>
      <c r="B80" s="2"/>
      <c r="C80" s="2"/>
      <c r="D80" s="2"/>
    </row>
    <row r="81">
      <c r="A81" s="2" t="s">
        <v>459</v>
      </c>
      <c r="B81" s="2" t="s">
        <v>460</v>
      </c>
      <c r="C81" s="2">
        <v>7.0</v>
      </c>
      <c r="D81" s="2">
        <v>0.0</v>
      </c>
    </row>
    <row r="82">
      <c r="A82" s="117" t="s">
        <v>461</v>
      </c>
      <c r="B82" s="117" t="s">
        <v>345</v>
      </c>
      <c r="C82" s="117" t="s">
        <v>346</v>
      </c>
      <c r="D82" s="117" t="s">
        <v>347</v>
      </c>
      <c r="E82" s="117" t="s">
        <v>348</v>
      </c>
      <c r="F82" s="118" t="s">
        <v>349</v>
      </c>
      <c r="G82" s="117" t="s">
        <v>350</v>
      </c>
    </row>
    <row r="83">
      <c r="A83" s="132" t="s">
        <v>462</v>
      </c>
      <c r="B83" s="132" t="s">
        <v>360</v>
      </c>
      <c r="C83" s="132"/>
      <c r="D83" s="132"/>
      <c r="E83" s="132"/>
      <c r="F83" s="133">
        <f>F55</f>
        <v>156.42</v>
      </c>
      <c r="G83" s="119" t="s">
        <v>463</v>
      </c>
    </row>
    <row r="84">
      <c r="A84" s="132" t="s">
        <v>464</v>
      </c>
      <c r="B84" s="132" t="s">
        <v>360</v>
      </c>
      <c r="C84" s="132"/>
      <c r="D84" s="132"/>
      <c r="E84" s="132"/>
      <c r="F84" s="136">
        <v>0.0</v>
      </c>
      <c r="G84" s="121" t="s">
        <v>465</v>
      </c>
    </row>
    <row r="85">
      <c r="A85" s="132" t="s">
        <v>466</v>
      </c>
      <c r="B85" s="132" t="s">
        <v>360</v>
      </c>
      <c r="C85" s="132"/>
      <c r="D85" s="132"/>
      <c r="E85" s="132"/>
      <c r="F85" s="133">
        <f>F68</f>
        <v>4094.49075</v>
      </c>
      <c r="G85" s="121" t="s">
        <v>467</v>
      </c>
    </row>
    <row r="86">
      <c r="A86" s="132" t="s">
        <v>468</v>
      </c>
      <c r="B86" s="132" t="s">
        <v>360</v>
      </c>
      <c r="C86" s="132"/>
      <c r="D86" s="132"/>
      <c r="E86" s="132"/>
      <c r="F86" s="133">
        <f>F74</f>
        <v>16617.20192</v>
      </c>
      <c r="G86" s="119"/>
    </row>
    <row r="87">
      <c r="A87" s="132" t="s">
        <v>469</v>
      </c>
      <c r="B87" s="132" t="s">
        <v>360</v>
      </c>
      <c r="C87" s="132"/>
      <c r="D87" s="132"/>
      <c r="E87" s="132"/>
      <c r="F87" s="136">
        <v>0.0</v>
      </c>
      <c r="G87" s="119"/>
    </row>
  </sheetData>
  <printOptions gridLines="1" horizontalCentered="1"/>
  <pageMargins bottom="0.75" footer="0.0" header="0.0" left="0.25" right="0.25"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6" max="6" width="14.5"/>
    <col customWidth="1" min="7" max="7" width="28.0"/>
  </cols>
  <sheetData>
    <row r="1">
      <c r="A1" s="114" t="s">
        <v>470</v>
      </c>
      <c r="B1" s="114" t="s">
        <v>471</v>
      </c>
      <c r="C1" s="114">
        <v>7.0</v>
      </c>
      <c r="D1" s="114">
        <v>0.0</v>
      </c>
      <c r="E1" s="114" t="s">
        <v>154</v>
      </c>
      <c r="F1" s="115"/>
      <c r="G1" s="115"/>
      <c r="H1" s="116"/>
      <c r="I1" s="116"/>
      <c r="J1" s="116"/>
      <c r="K1" s="116"/>
      <c r="L1" s="116"/>
      <c r="M1" s="116"/>
      <c r="N1" s="116"/>
      <c r="O1" s="116"/>
      <c r="P1" s="116"/>
      <c r="Q1" s="116"/>
      <c r="R1" s="116"/>
      <c r="S1" s="116"/>
      <c r="T1" s="116"/>
      <c r="U1" s="116"/>
      <c r="V1" s="116"/>
      <c r="W1" s="116"/>
      <c r="X1" s="116"/>
      <c r="Y1" s="116"/>
      <c r="Z1" s="116"/>
    </row>
    <row r="2">
      <c r="A2" s="117" t="s">
        <v>344</v>
      </c>
      <c r="B2" s="117" t="s">
        <v>472</v>
      </c>
      <c r="C2" s="117"/>
      <c r="D2" s="117"/>
      <c r="E2" s="117"/>
      <c r="F2" s="117"/>
      <c r="G2" s="117" t="s">
        <v>350</v>
      </c>
    </row>
    <row r="3">
      <c r="A3" s="18" t="s">
        <v>473</v>
      </c>
      <c r="B3" s="21" t="s">
        <v>360</v>
      </c>
      <c r="C3" s="128">
        <f>7238*104*18.2/1000000</f>
        <v>13.7000864</v>
      </c>
      <c r="D3" s="21"/>
      <c r="E3" s="21"/>
      <c r="F3" s="21"/>
      <c r="G3" s="121" t="s">
        <v>474</v>
      </c>
    </row>
    <row r="4">
      <c r="A4" s="18" t="s">
        <v>475</v>
      </c>
      <c r="B4" s="18" t="s">
        <v>476</v>
      </c>
      <c r="C4" s="14">
        <f>(9227-6544)*24</f>
        <v>64392</v>
      </c>
      <c r="D4" s="21"/>
      <c r="E4" s="21"/>
      <c r="F4" s="21"/>
      <c r="G4" s="121" t="s">
        <v>477</v>
      </c>
    </row>
    <row r="5">
      <c r="A5" s="18" t="s">
        <v>478</v>
      </c>
      <c r="B5" s="18" t="s">
        <v>476</v>
      </c>
      <c r="C5" s="127">
        <f>6543.57*12</f>
        <v>78522.84</v>
      </c>
      <c r="D5" s="21"/>
      <c r="E5" s="21"/>
      <c r="F5" s="21"/>
      <c r="G5" s="121" t="s">
        <v>477</v>
      </c>
    </row>
    <row r="6">
      <c r="A6" s="18" t="s">
        <v>479</v>
      </c>
      <c r="B6" s="21" t="s">
        <v>365</v>
      </c>
      <c r="C6" s="20">
        <v>1.5</v>
      </c>
      <c r="D6" s="21"/>
      <c r="E6" s="21"/>
      <c r="F6" s="21"/>
      <c r="G6" s="121" t="s">
        <v>480</v>
      </c>
    </row>
    <row r="7">
      <c r="A7" s="18" t="s">
        <v>481</v>
      </c>
      <c r="B7" s="18" t="s">
        <v>365</v>
      </c>
      <c r="C7" s="137">
        <v>2.5</v>
      </c>
      <c r="D7" s="21"/>
      <c r="E7" s="21"/>
      <c r="F7" s="21"/>
      <c r="G7" s="121" t="s">
        <v>482</v>
      </c>
    </row>
    <row r="8">
      <c r="A8" s="18" t="s">
        <v>483</v>
      </c>
      <c r="B8" s="18" t="s">
        <v>484</v>
      </c>
      <c r="C8" s="138">
        <f>(C4*C6+C5*C7)/C3</f>
        <v>21379.06955</v>
      </c>
      <c r="D8" s="21"/>
      <c r="E8" s="21"/>
      <c r="F8" s="21"/>
      <c r="G8" s="119"/>
    </row>
    <row r="9">
      <c r="A9" s="132" t="s">
        <v>485</v>
      </c>
      <c r="B9" s="132" t="s">
        <v>365</v>
      </c>
      <c r="C9" s="139">
        <f>C5*C7/(C5*C7+C4*C6)</f>
        <v>0.6702300585</v>
      </c>
      <c r="D9" s="21"/>
      <c r="E9" s="21"/>
      <c r="F9" s="21"/>
      <c r="G9" s="119"/>
    </row>
    <row r="10">
      <c r="A10" s="21"/>
      <c r="B10" s="21"/>
      <c r="C10" s="21"/>
      <c r="D10" s="21"/>
      <c r="E10" s="21"/>
      <c r="F10" s="21"/>
      <c r="G10" s="119"/>
    </row>
    <row r="11">
      <c r="A11" s="18" t="s">
        <v>486</v>
      </c>
      <c r="B11" s="21" t="s">
        <v>487</v>
      </c>
      <c r="C11" s="20">
        <f>83*2</f>
        <v>166</v>
      </c>
      <c r="D11" s="21"/>
      <c r="E11" s="21"/>
      <c r="F11" s="21"/>
      <c r="G11" s="121" t="s">
        <v>488</v>
      </c>
    </row>
    <row r="12">
      <c r="A12" s="21" t="s">
        <v>489</v>
      </c>
      <c r="B12" s="21" t="s">
        <v>365</v>
      </c>
      <c r="C12" s="20">
        <v>1.25</v>
      </c>
      <c r="D12" s="21"/>
      <c r="E12" s="21"/>
      <c r="F12" s="21"/>
      <c r="G12" s="119" t="s">
        <v>490</v>
      </c>
    </row>
    <row r="13">
      <c r="A13" s="18" t="s">
        <v>491</v>
      </c>
      <c r="B13" s="18" t="s">
        <v>492</v>
      </c>
      <c r="C13" s="138">
        <f>C11*189*C12/3600</f>
        <v>10.89375</v>
      </c>
      <c r="D13" s="21"/>
      <c r="E13" s="21"/>
      <c r="F13" s="21"/>
      <c r="G13" s="119"/>
    </row>
    <row r="14">
      <c r="A14" s="21"/>
      <c r="B14" s="21"/>
      <c r="C14" s="21"/>
      <c r="D14" s="21"/>
      <c r="E14" s="21"/>
      <c r="F14" s="21"/>
      <c r="G14" s="119"/>
    </row>
    <row r="15">
      <c r="A15" s="21" t="s">
        <v>493</v>
      </c>
      <c r="B15" s="21" t="s">
        <v>360</v>
      </c>
      <c r="C15" s="14">
        <f>12*3600/1000</f>
        <v>43.2</v>
      </c>
      <c r="D15" s="21"/>
      <c r="E15" s="21"/>
      <c r="F15" s="21"/>
      <c r="G15" s="121" t="s">
        <v>494</v>
      </c>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119"/>
    </row>
    <row r="17">
      <c r="A17" s="114" t="s">
        <v>495</v>
      </c>
      <c r="B17" s="114" t="s">
        <v>496</v>
      </c>
      <c r="C17" s="114">
        <v>7.0</v>
      </c>
      <c r="D17" s="114">
        <v>0.0</v>
      </c>
      <c r="E17" s="114" t="s">
        <v>154</v>
      </c>
      <c r="F17" s="115"/>
      <c r="G17" s="115"/>
      <c r="H17" s="116"/>
      <c r="I17" s="116"/>
      <c r="J17" s="116"/>
      <c r="K17" s="116"/>
      <c r="L17" s="116"/>
      <c r="M17" s="116"/>
      <c r="N17" s="116"/>
      <c r="O17" s="116"/>
      <c r="P17" s="116"/>
      <c r="Q17" s="116"/>
      <c r="R17" s="116"/>
      <c r="S17" s="116"/>
      <c r="T17" s="116"/>
      <c r="U17" s="116"/>
      <c r="V17" s="116"/>
      <c r="W17" s="116"/>
      <c r="X17" s="116"/>
      <c r="Y17" s="116"/>
      <c r="Z17" s="116"/>
    </row>
    <row r="18">
      <c r="A18" s="117" t="s">
        <v>497</v>
      </c>
      <c r="B18" s="117" t="s">
        <v>472</v>
      </c>
      <c r="C18" s="118" t="s">
        <v>498</v>
      </c>
      <c r="D18" s="118" t="s">
        <v>499</v>
      </c>
      <c r="E18" s="118" t="s">
        <v>500</v>
      </c>
      <c r="F18" s="118" t="s">
        <v>501</v>
      </c>
      <c r="G18" s="117" t="s">
        <v>350</v>
      </c>
    </row>
    <row r="19">
      <c r="A19" s="18" t="s">
        <v>502</v>
      </c>
      <c r="B19" s="21" t="s">
        <v>360</v>
      </c>
      <c r="C19" s="29">
        <f>Storage!C39*12*2+Storage!C43*2</f>
        <v>206.1211152</v>
      </c>
      <c r="D19" s="29">
        <f>Storage!D39*12*2+Storage!D43*2</f>
        <v>206.1211152</v>
      </c>
      <c r="E19" s="29">
        <f>Storage!E39*12*2+Storage!E43*2</f>
        <v>206.1211152</v>
      </c>
      <c r="F19" s="29">
        <f>Storage!F39*12*2+Storage!F43*2</f>
        <v>206.1211152</v>
      </c>
      <c r="G19" s="119"/>
    </row>
    <row r="20">
      <c r="A20" s="18" t="s">
        <v>503</v>
      </c>
      <c r="B20" s="21" t="s">
        <v>360</v>
      </c>
      <c r="C20" s="21"/>
      <c r="D20" s="21"/>
      <c r="E20" s="29">
        <f>lsstCamScienceImages*lsstCamImageSize/imagesPerVisit*rawCompression</f>
        <v>318.5203069</v>
      </c>
      <c r="F20" s="29">
        <f>lsstCamScienceImages*lsstCamImageSize/imagesPerVisit*rawCompression</f>
        <v>1911.121842</v>
      </c>
      <c r="G20" s="121" t="s">
        <v>504</v>
      </c>
    </row>
    <row r="21">
      <c r="A21" s="18" t="s">
        <v>505</v>
      </c>
      <c r="B21" s="18" t="s">
        <v>476</v>
      </c>
      <c r="C21" s="138">
        <f>coreHoursPerTB*C19</f>
        <v>4406677.658</v>
      </c>
      <c r="D21" s="138">
        <f>coreHoursPerTB*D19</f>
        <v>4406677.658</v>
      </c>
      <c r="E21" s="138">
        <f>coreHoursPerTB*E19</f>
        <v>4406677.658</v>
      </c>
      <c r="F21" s="138">
        <f>coreHoursPerTB*F19</f>
        <v>4406677.658</v>
      </c>
      <c r="G21" s="119"/>
    </row>
    <row r="22">
      <c r="A22" s="18" t="s">
        <v>506</v>
      </c>
      <c r="B22" s="18" t="s">
        <v>476</v>
      </c>
      <c r="C22" s="140"/>
      <c r="D22" s="140"/>
      <c r="E22" s="138">
        <f>coreHoursPerTB*E20</f>
        <v>6809667.796</v>
      </c>
      <c r="F22" s="138">
        <f>coreHoursPerTB*F20</f>
        <v>40858006.77</v>
      </c>
      <c r="G22" s="119"/>
    </row>
    <row r="23">
      <c r="A23" s="21"/>
      <c r="B23" s="21"/>
      <c r="C23" s="21"/>
      <c r="D23" s="21"/>
      <c r="E23" s="21"/>
      <c r="F23" s="21"/>
      <c r="G23" s="119"/>
    </row>
    <row r="24">
      <c r="A24" s="131" t="s">
        <v>507</v>
      </c>
      <c r="B24" s="131" t="s">
        <v>476</v>
      </c>
      <c r="C24" s="141">
        <f t="shared" ref="C24:E24" si="1">C21+C22</f>
        <v>4406677.658</v>
      </c>
      <c r="D24" s="141">
        <f t="shared" si="1"/>
        <v>4406677.658</v>
      </c>
      <c r="E24" s="141">
        <f t="shared" si="1"/>
        <v>11216345.45</v>
      </c>
      <c r="F24" s="141">
        <f>(F21+F22)/Model!$G$3</f>
        <v>45264684.43</v>
      </c>
      <c r="G24" s="119"/>
    </row>
    <row r="25">
      <c r="A25" s="21"/>
      <c r="B25" s="21"/>
      <c r="C25" s="21"/>
      <c r="D25" s="21"/>
      <c r="E25" s="21"/>
      <c r="F25" s="21"/>
      <c r="G25" s="119"/>
    </row>
    <row r="26">
      <c r="A26" s="117" t="s">
        <v>508</v>
      </c>
      <c r="B26" s="117" t="s">
        <v>472</v>
      </c>
      <c r="C26" s="118" t="s">
        <v>498</v>
      </c>
      <c r="D26" s="118" t="s">
        <v>499</v>
      </c>
      <c r="E26" s="118" t="s">
        <v>500</v>
      </c>
      <c r="F26" s="118" t="s">
        <v>501</v>
      </c>
      <c r="G26" s="117" t="s">
        <v>350</v>
      </c>
    </row>
    <row r="27">
      <c r="A27" s="131" t="s">
        <v>509</v>
      </c>
      <c r="B27" s="131" t="s">
        <v>189</v>
      </c>
      <c r="C27" s="132"/>
      <c r="D27" s="132"/>
      <c r="E27" s="142">
        <f>C13*3600/33</f>
        <v>1188.409091</v>
      </c>
      <c r="F27" s="142">
        <f>E27</f>
        <v>1188.409091</v>
      </c>
      <c r="G27" s="119" t="s">
        <v>510</v>
      </c>
    </row>
    <row r="28">
      <c r="E28" s="32"/>
      <c r="F28" s="32"/>
      <c r="G28" s="119"/>
    </row>
    <row r="29">
      <c r="A29" s="18" t="s">
        <v>511</v>
      </c>
      <c r="B29" s="114" t="s">
        <v>512</v>
      </c>
      <c r="C29" s="18">
        <v>7.0</v>
      </c>
      <c r="D29" s="18">
        <v>0.0</v>
      </c>
      <c r="E29" s="143"/>
      <c r="F29" s="143"/>
      <c r="G29" s="119"/>
    </row>
    <row r="30">
      <c r="A30" s="118" t="s">
        <v>513</v>
      </c>
      <c r="B30" s="117" t="s">
        <v>472</v>
      </c>
      <c r="C30" s="118" t="s">
        <v>498</v>
      </c>
      <c r="D30" s="118" t="s">
        <v>499</v>
      </c>
      <c r="E30" s="118" t="s">
        <v>500</v>
      </c>
      <c r="F30" s="118" t="s">
        <v>501</v>
      </c>
      <c r="G30" s="117" t="s">
        <v>350</v>
      </c>
    </row>
    <row r="31">
      <c r="A31" s="131" t="s">
        <v>514</v>
      </c>
      <c r="B31" s="131" t="s">
        <v>189</v>
      </c>
      <c r="C31" s="141"/>
      <c r="D31" s="141"/>
      <c r="E31" s="142">
        <f t="shared" ref="E31:F31" si="2">E24*0.1/24/365</f>
        <v>128.0404732</v>
      </c>
      <c r="F31" s="142">
        <f t="shared" si="2"/>
        <v>516.7201419</v>
      </c>
      <c r="G31" s="144" t="s">
        <v>515</v>
      </c>
    </row>
    <row r="32">
      <c r="A32" s="131" t="s">
        <v>301</v>
      </c>
      <c r="B32" s="131" t="s">
        <v>516</v>
      </c>
      <c r="C32" s="132"/>
      <c r="D32" s="132"/>
      <c r="E32" s="142">
        <f>CEILING(Storage!E68/$C$15,1)</f>
        <v>14</v>
      </c>
      <c r="F32" s="142">
        <f>CEILING(Storage!F68/$C$15,1)</f>
        <v>95</v>
      </c>
      <c r="G32" s="144"/>
    </row>
    <row r="33">
      <c r="A33" s="18" t="s">
        <v>517</v>
      </c>
      <c r="B33" s="18" t="s">
        <v>518</v>
      </c>
      <c r="C33" s="21"/>
      <c r="D33" s="21"/>
      <c r="E33" s="145">
        <f>E31/scienceUsers</f>
        <v>0.02560809464</v>
      </c>
      <c r="F33" s="145">
        <f>F31/scienceUsers</f>
        <v>0.1033440284</v>
      </c>
      <c r="G33" s="144" t="s">
        <v>519</v>
      </c>
    </row>
    <row r="34">
      <c r="E34" s="32"/>
      <c r="F34" s="32"/>
      <c r="G34" s="144"/>
    </row>
    <row r="35">
      <c r="A35" s="117" t="s">
        <v>520</v>
      </c>
      <c r="B35" s="117" t="s">
        <v>472</v>
      </c>
      <c r="C35" s="146" t="s">
        <v>498</v>
      </c>
      <c r="D35" s="146" t="s">
        <v>499</v>
      </c>
      <c r="E35" s="146" t="s">
        <v>500</v>
      </c>
      <c r="F35" s="146" t="s">
        <v>501</v>
      </c>
      <c r="G35" s="117" t="s">
        <v>350</v>
      </c>
    </row>
    <row r="36">
      <c r="A36" s="132" t="s">
        <v>514</v>
      </c>
      <c r="B36" s="132" t="s">
        <v>189</v>
      </c>
      <c r="C36" s="147"/>
      <c r="D36" s="147"/>
      <c r="E36" s="148">
        <f t="shared" ref="E36:F36" si="3">0.2*E31</f>
        <v>25.60809464</v>
      </c>
      <c r="F36" s="148">
        <f t="shared" si="3"/>
        <v>103.3440284</v>
      </c>
      <c r="G36" s="119" t="s">
        <v>521</v>
      </c>
    </row>
    <row r="37">
      <c r="A37" s="131" t="s">
        <v>301</v>
      </c>
      <c r="B37" s="131" t="s">
        <v>516</v>
      </c>
      <c r="C37" s="132"/>
      <c r="D37" s="132"/>
      <c r="E37" s="142">
        <f t="shared" ref="E37:F37" si="4">E32</f>
        <v>14</v>
      </c>
      <c r="F37" s="142">
        <f t="shared" si="4"/>
        <v>95</v>
      </c>
      <c r="G37" s="119"/>
    </row>
    <row r="38">
      <c r="A38" s="21"/>
      <c r="B38" s="21"/>
      <c r="C38" s="21"/>
      <c r="D38" s="21"/>
      <c r="E38" s="143"/>
      <c r="F38" s="143"/>
      <c r="G38" s="119"/>
    </row>
    <row r="39">
      <c r="A39" s="117" t="s">
        <v>522</v>
      </c>
      <c r="B39" s="117" t="s">
        <v>472</v>
      </c>
      <c r="C39" s="118" t="s">
        <v>498</v>
      </c>
      <c r="D39" s="118" t="s">
        <v>499</v>
      </c>
      <c r="E39" s="118" t="s">
        <v>500</v>
      </c>
      <c r="F39" s="118" t="s">
        <v>501</v>
      </c>
      <c r="G39" s="117" t="s">
        <v>350</v>
      </c>
    </row>
    <row r="40">
      <c r="A40" s="132" t="s">
        <v>514</v>
      </c>
      <c r="B40" s="132" t="s">
        <v>189</v>
      </c>
      <c r="C40" s="147"/>
      <c r="D40" s="147"/>
      <c r="E40" s="148">
        <f t="shared" ref="E40:F40" si="5">0.1*E31</f>
        <v>12.80404732</v>
      </c>
      <c r="F40" s="148">
        <f t="shared" si="5"/>
        <v>51.67201419</v>
      </c>
      <c r="G40" s="119" t="s">
        <v>523</v>
      </c>
    </row>
    <row r="41">
      <c r="G41" s="119"/>
    </row>
    <row r="42">
      <c r="G42" s="119"/>
    </row>
    <row r="43">
      <c r="A43" s="2" t="s">
        <v>524</v>
      </c>
      <c r="B43" s="2" t="s">
        <v>525</v>
      </c>
      <c r="C43" s="2">
        <v>7.0</v>
      </c>
      <c r="D43" s="2">
        <v>0.0</v>
      </c>
      <c r="G43" s="119"/>
    </row>
    <row r="44">
      <c r="A44" s="117" t="s">
        <v>526</v>
      </c>
      <c r="B44" s="117" t="s">
        <v>472</v>
      </c>
      <c r="C44" s="117"/>
      <c r="D44" s="117"/>
      <c r="E44" s="117"/>
      <c r="F44" s="117"/>
      <c r="G44" s="117" t="s">
        <v>350</v>
      </c>
    </row>
    <row r="45">
      <c r="A45" s="18" t="s">
        <v>527</v>
      </c>
      <c r="B45" s="21" t="s">
        <v>360</v>
      </c>
      <c r="C45" s="14">
        <v>50.0</v>
      </c>
      <c r="D45" s="21"/>
      <c r="E45" s="21"/>
      <c r="F45" s="21"/>
      <c r="G45" s="119"/>
    </row>
    <row r="46">
      <c r="A46" s="21" t="s">
        <v>528</v>
      </c>
      <c r="B46" s="21" t="s">
        <v>360</v>
      </c>
      <c r="C46" s="149">
        <f>2048*4096*2*60/1000000000000</f>
        <v>0.00100663296</v>
      </c>
      <c r="D46" s="21"/>
      <c r="E46" s="21"/>
      <c r="F46" s="21"/>
      <c r="G46" s="119"/>
    </row>
    <row r="47">
      <c r="A47" s="21" t="s">
        <v>529</v>
      </c>
      <c r="B47" s="21" t="s">
        <v>492</v>
      </c>
      <c r="C47" s="128">
        <v>5.23</v>
      </c>
      <c r="D47" s="21"/>
      <c r="E47" s="21"/>
      <c r="F47" s="21"/>
      <c r="G47" s="119" t="s">
        <v>530</v>
      </c>
    </row>
    <row r="48">
      <c r="A48" s="21" t="s">
        <v>531</v>
      </c>
      <c r="B48" s="21" t="s">
        <v>532</v>
      </c>
      <c r="C48" s="128">
        <f>19.52/(0.75*0.75)</f>
        <v>34.70222222</v>
      </c>
      <c r="D48" s="21"/>
      <c r="E48" s="21"/>
      <c r="F48" s="21"/>
      <c r="G48" s="119" t="s">
        <v>530</v>
      </c>
    </row>
    <row r="49">
      <c r="A49" s="21" t="s">
        <v>533</v>
      </c>
      <c r="B49" s="21" t="s">
        <v>532</v>
      </c>
      <c r="C49" s="150">
        <f>(1700000*313.6/32/40 + 200000)/(0.75*0.75*10146)</f>
        <v>108.0228662</v>
      </c>
      <c r="D49" s="21"/>
      <c r="E49" s="21"/>
      <c r="F49" s="21"/>
      <c r="G49" s="129" t="s">
        <v>534</v>
      </c>
    </row>
    <row r="50">
      <c r="A50" s="21" t="s">
        <v>535</v>
      </c>
      <c r="B50" s="21" t="s">
        <v>400</v>
      </c>
      <c r="C50" s="29">
        <f>10146*0.75*0.75</f>
        <v>5707.125</v>
      </c>
      <c r="D50" s="21"/>
      <c r="E50" s="21"/>
      <c r="F50" s="21"/>
      <c r="G50" s="119"/>
    </row>
    <row r="51">
      <c r="A51" s="21"/>
      <c r="B51" s="21"/>
      <c r="C51" s="21"/>
      <c r="D51" s="21"/>
      <c r="E51" s="21"/>
      <c r="F51" s="21"/>
      <c r="G51" s="119"/>
    </row>
    <row r="52">
      <c r="A52" s="21" t="s">
        <v>536</v>
      </c>
      <c r="B52" s="21" t="s">
        <v>484</v>
      </c>
      <c r="C52" s="138">
        <f>C47/C46+(C48+C49)*C50/C45</f>
        <v>21486.5366</v>
      </c>
      <c r="D52" s="21"/>
      <c r="E52" s="21"/>
      <c r="F52" s="21"/>
      <c r="G52" s="119"/>
    </row>
  </sheetData>
  <printOptions gridLines="1" horizontalCentered="1"/>
  <pageMargins bottom="0.75" footer="0.0" header="0.0" left="0.25" right="0.25"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6.0"/>
    <col customWidth="1" min="6" max="12" width="14.5"/>
    <col customWidth="1" min="13" max="13" width="51.25"/>
  </cols>
  <sheetData>
    <row r="1">
      <c r="A1" s="2" t="s">
        <v>537</v>
      </c>
      <c r="B1" s="114" t="s">
        <v>538</v>
      </c>
      <c r="C1" s="114">
        <v>12.0</v>
      </c>
      <c r="D1" s="114">
        <v>0.0</v>
      </c>
      <c r="E1" s="114" t="s">
        <v>154</v>
      </c>
      <c r="F1" s="115"/>
      <c r="G1" s="115"/>
      <c r="H1" s="115"/>
      <c r="I1" s="115"/>
      <c r="J1" s="115"/>
      <c r="K1" s="115"/>
      <c r="L1" s="115"/>
      <c r="M1" s="115"/>
      <c r="N1" s="116"/>
      <c r="O1" s="116"/>
      <c r="P1" s="116"/>
      <c r="Q1" s="116"/>
      <c r="R1" s="116"/>
      <c r="S1" s="116"/>
      <c r="T1" s="116"/>
      <c r="U1" s="116"/>
      <c r="V1" s="116"/>
      <c r="W1" s="116"/>
      <c r="X1" s="116"/>
      <c r="Y1" s="116"/>
      <c r="Z1" s="116"/>
      <c r="AA1" s="116"/>
      <c r="AB1" s="116"/>
      <c r="AC1" s="116"/>
      <c r="AD1" s="116"/>
      <c r="AE1" s="116"/>
      <c r="AF1" s="116"/>
    </row>
    <row r="2">
      <c r="A2" s="117" t="s">
        <v>344</v>
      </c>
      <c r="B2" s="117" t="s">
        <v>345</v>
      </c>
      <c r="C2" s="118" t="s">
        <v>539</v>
      </c>
      <c r="D2" s="118" t="s">
        <v>540</v>
      </c>
      <c r="E2" s="118" t="s">
        <v>541</v>
      </c>
      <c r="F2" s="118" t="s">
        <v>542</v>
      </c>
      <c r="G2" s="118" t="s">
        <v>543</v>
      </c>
      <c r="H2" s="118" t="s">
        <v>544</v>
      </c>
      <c r="I2" s="118" t="s">
        <v>545</v>
      </c>
      <c r="J2" s="118" t="s">
        <v>546</v>
      </c>
      <c r="K2" s="118" t="s">
        <v>547</v>
      </c>
      <c r="L2" s="118" t="s">
        <v>548</v>
      </c>
      <c r="M2" s="117" t="s">
        <v>350</v>
      </c>
    </row>
    <row r="3">
      <c r="A3" s="21"/>
      <c r="B3" s="21"/>
      <c r="C3" s="21"/>
      <c r="D3" s="21"/>
      <c r="E3" s="21"/>
      <c r="F3" s="21"/>
      <c r="G3" s="21"/>
      <c r="H3" s="21"/>
      <c r="I3" s="21"/>
      <c r="J3" s="21"/>
      <c r="K3" s="21"/>
      <c r="L3" s="21"/>
      <c r="M3" s="119"/>
    </row>
    <row r="4">
      <c r="A4" s="21" t="s">
        <v>351</v>
      </c>
      <c r="B4" s="21" t="s">
        <v>352</v>
      </c>
      <c r="C4" s="22">
        <v>2.75E10</v>
      </c>
      <c r="D4" s="22">
        <v>3.25E10</v>
      </c>
      <c r="E4" s="22">
        <v>3.57E10</v>
      </c>
      <c r="F4" s="151">
        <v>3.82E10</v>
      </c>
      <c r="G4" s="22">
        <v>4.03E10</v>
      </c>
      <c r="H4" s="22">
        <v>4.22E10</v>
      </c>
      <c r="I4" s="151">
        <v>4.38E10</v>
      </c>
      <c r="J4" s="151">
        <v>4.53E10</v>
      </c>
      <c r="K4" s="151">
        <v>4.64E10</v>
      </c>
      <c r="L4" s="151">
        <v>4.74E10</v>
      </c>
      <c r="M4" s="121" t="s">
        <v>549</v>
      </c>
    </row>
    <row r="5">
      <c r="A5" s="21" t="s">
        <v>354</v>
      </c>
      <c r="B5" s="21" t="s">
        <v>352</v>
      </c>
      <c r="C5" s="152">
        <v>9.01E11</v>
      </c>
      <c r="D5" s="152">
        <v>1.8E12</v>
      </c>
      <c r="E5" s="152">
        <v>2.7E12</v>
      </c>
      <c r="F5" s="152">
        <v>3.6E12</v>
      </c>
      <c r="G5" s="152">
        <v>4.51E12</v>
      </c>
      <c r="H5" s="152">
        <v>5.41E12</v>
      </c>
      <c r="I5" s="152">
        <v>6.31E12</v>
      </c>
      <c r="J5" s="151">
        <v>7.21E12</v>
      </c>
      <c r="K5" s="151">
        <v>8.11E12</v>
      </c>
      <c r="L5" s="151">
        <v>9.01E12</v>
      </c>
      <c r="M5" s="121" t="s">
        <v>549</v>
      </c>
    </row>
    <row r="6">
      <c r="A6" s="21" t="s">
        <v>355</v>
      </c>
      <c r="B6" s="21" t="s">
        <v>352</v>
      </c>
      <c r="C6" s="152">
        <f> Model!G8*2910000000000</f>
        <v>2910000000000</v>
      </c>
      <c r="D6" s="152">
        <f> Model!G8* 6870000000000</f>
        <v>6870000000000</v>
      </c>
      <c r="E6" s="152">
        <f> Model!G8*11300000000000</f>
        <v>11300000000000</v>
      </c>
      <c r="F6" s="152">
        <f> Model!G8*16100000000000</f>
        <v>16100000000000</v>
      </c>
      <c r="G6" s="152">
        <f> Model!G8*21300000000000</f>
        <v>21300000000000</v>
      </c>
      <c r="H6" s="152">
        <f> Model!G8*26700000000000</f>
        <v>26700000000000</v>
      </c>
      <c r="I6" s="152">
        <f> Model!G8*32400000000000</f>
        <v>32400000000000</v>
      </c>
      <c r="J6" s="152">
        <f> Model!G8*38300000000000</f>
        <v>38300000000000</v>
      </c>
      <c r="K6" s="151">
        <f> Model!G8*44100000000000</f>
        <v>44100000000000</v>
      </c>
      <c r="L6" s="151">
        <f> Model!G8*50100000000000</f>
        <v>50100000000000</v>
      </c>
      <c r="M6" s="121" t="s">
        <v>549</v>
      </c>
    </row>
    <row r="7">
      <c r="A7" s="21"/>
      <c r="B7" s="21"/>
      <c r="C7" s="120"/>
      <c r="D7" s="120"/>
      <c r="E7" s="120"/>
      <c r="F7" s="120"/>
      <c r="H7" s="120"/>
      <c r="I7" s="120"/>
      <c r="J7" s="120"/>
      <c r="K7" s="120"/>
      <c r="L7" s="120"/>
      <c r="M7" s="119"/>
    </row>
    <row r="8">
      <c r="A8" s="21" t="s">
        <v>356</v>
      </c>
      <c r="B8" s="21" t="s">
        <v>357</v>
      </c>
      <c r="C8" s="20">
        <v>5000.0</v>
      </c>
      <c r="D8" s="20">
        <v>6000.0</v>
      </c>
      <c r="E8" s="20">
        <v>7000.0</v>
      </c>
      <c r="F8" s="20">
        <v>7500.0</v>
      </c>
      <c r="G8" s="2">
        <v>7500.0</v>
      </c>
      <c r="H8" s="20">
        <v>7500.0</v>
      </c>
      <c r="I8" s="20">
        <v>7500.0</v>
      </c>
      <c r="J8" s="20">
        <v>7500.0</v>
      </c>
      <c r="K8" s="20">
        <v>7500.0</v>
      </c>
      <c r="L8" s="20">
        <v>7500.0</v>
      </c>
      <c r="M8" s="121" t="s">
        <v>550</v>
      </c>
    </row>
    <row r="9">
      <c r="A9" s="18" t="s">
        <v>359</v>
      </c>
      <c r="B9" s="21" t="s">
        <v>360</v>
      </c>
      <c r="C9" s="20">
        <v>0.4</v>
      </c>
      <c r="D9" s="20">
        <v>0.5</v>
      </c>
      <c r="E9" s="20">
        <v>0.6</v>
      </c>
      <c r="F9" s="20">
        <v>0.7</v>
      </c>
      <c r="G9" s="2">
        <v>0.8</v>
      </c>
      <c r="H9" s="20">
        <v>0.9</v>
      </c>
      <c r="I9" s="20">
        <v>1.0</v>
      </c>
      <c r="J9" s="20">
        <v>1.1</v>
      </c>
      <c r="K9" s="20">
        <v>1.2</v>
      </c>
      <c r="L9" s="20">
        <v>1.3</v>
      </c>
      <c r="M9" s="121" t="s">
        <v>551</v>
      </c>
    </row>
    <row r="10">
      <c r="A10" s="21"/>
      <c r="B10" s="21"/>
      <c r="C10" s="21"/>
      <c r="D10" s="21"/>
      <c r="E10" s="21"/>
      <c r="F10" s="21"/>
      <c r="H10" s="21"/>
      <c r="I10" s="21"/>
      <c r="J10" s="21"/>
      <c r="K10" s="21"/>
      <c r="L10" s="21"/>
      <c r="M10" s="119"/>
    </row>
    <row r="11">
      <c r="A11" s="21" t="s">
        <v>362</v>
      </c>
      <c r="B11" s="21" t="s">
        <v>360</v>
      </c>
      <c r="C11" s="122">
        <f>16*562*2098*(189+12)*4/1000000000000</f>
        <v>0.01516763366</v>
      </c>
      <c r="D11" s="153">
        <f t="shared" ref="D11:L11" si="1">C11</f>
        <v>0.01516763366</v>
      </c>
      <c r="E11" s="153">
        <f t="shared" si="1"/>
        <v>0.01516763366</v>
      </c>
      <c r="F11" s="153">
        <f t="shared" si="1"/>
        <v>0.01516763366</v>
      </c>
      <c r="G11" s="153">
        <f t="shared" si="1"/>
        <v>0.01516763366</v>
      </c>
      <c r="H11" s="153">
        <f t="shared" si="1"/>
        <v>0.01516763366</v>
      </c>
      <c r="I11" s="153">
        <f t="shared" si="1"/>
        <v>0.01516763366</v>
      </c>
      <c r="J11" s="153">
        <f t="shared" si="1"/>
        <v>0.01516763366</v>
      </c>
      <c r="K11" s="153">
        <f t="shared" si="1"/>
        <v>0.01516763366</v>
      </c>
      <c r="L11" s="153">
        <f t="shared" si="1"/>
        <v>0.01516763366</v>
      </c>
      <c r="M11" s="119" t="s">
        <v>363</v>
      </c>
    </row>
    <row r="12">
      <c r="A12" s="21" t="s">
        <v>364</v>
      </c>
      <c r="B12" s="21" t="s">
        <v>365</v>
      </c>
      <c r="C12" s="14">
        <v>0.42</v>
      </c>
      <c r="D12" s="21">
        <f t="shared" ref="D12:L12" si="2">C12</f>
        <v>0.42</v>
      </c>
      <c r="E12" s="21">
        <f t="shared" si="2"/>
        <v>0.42</v>
      </c>
      <c r="F12" s="21">
        <f t="shared" si="2"/>
        <v>0.42</v>
      </c>
      <c r="G12" s="21">
        <f t="shared" si="2"/>
        <v>0.42</v>
      </c>
      <c r="H12" s="21">
        <f t="shared" si="2"/>
        <v>0.42</v>
      </c>
      <c r="I12" s="21">
        <f t="shared" si="2"/>
        <v>0.42</v>
      </c>
      <c r="J12" s="21">
        <f t="shared" si="2"/>
        <v>0.42</v>
      </c>
      <c r="K12" s="21">
        <f t="shared" si="2"/>
        <v>0.42</v>
      </c>
      <c r="L12" s="21">
        <f t="shared" si="2"/>
        <v>0.42</v>
      </c>
      <c r="M12" s="121" t="s">
        <v>366</v>
      </c>
    </row>
    <row r="13">
      <c r="A13" s="21" t="s">
        <v>367</v>
      </c>
      <c r="B13" s="21" t="s">
        <v>365</v>
      </c>
      <c r="C13" s="149">
        <v>0.25</v>
      </c>
      <c r="D13" s="154">
        <f t="shared" ref="D13:L13" si="3">C13</f>
        <v>0.25</v>
      </c>
      <c r="E13" s="154">
        <f t="shared" si="3"/>
        <v>0.25</v>
      </c>
      <c r="F13" s="154">
        <f t="shared" si="3"/>
        <v>0.25</v>
      </c>
      <c r="G13" s="154">
        <f t="shared" si="3"/>
        <v>0.25</v>
      </c>
      <c r="H13" s="154">
        <f t="shared" si="3"/>
        <v>0.25</v>
      </c>
      <c r="I13" s="154">
        <f t="shared" si="3"/>
        <v>0.25</v>
      </c>
      <c r="J13" s="154">
        <f t="shared" si="3"/>
        <v>0.25</v>
      </c>
      <c r="K13" s="154">
        <f t="shared" si="3"/>
        <v>0.25</v>
      </c>
      <c r="L13" s="154">
        <f t="shared" si="3"/>
        <v>0.25</v>
      </c>
      <c r="M13" s="121" t="s">
        <v>368</v>
      </c>
    </row>
    <row r="14">
      <c r="A14" s="21"/>
      <c r="B14" s="21"/>
      <c r="C14" s="21"/>
      <c r="D14" s="21"/>
      <c r="E14" s="21"/>
      <c r="F14" s="21"/>
      <c r="H14" s="21"/>
      <c r="I14" s="21"/>
      <c r="J14" s="21"/>
      <c r="K14" s="21"/>
      <c r="L14" s="21"/>
      <c r="M14" s="119"/>
    </row>
    <row r="15">
      <c r="A15" s="21" t="s">
        <v>371</v>
      </c>
      <c r="B15" s="21" t="s">
        <v>372</v>
      </c>
      <c r="C15" s="14">
        <v>300.0</v>
      </c>
      <c r="D15" s="21">
        <f t="shared" ref="D15:L15" si="4">C15</f>
        <v>300</v>
      </c>
      <c r="E15" s="21">
        <f t="shared" si="4"/>
        <v>300</v>
      </c>
      <c r="F15" s="21">
        <f t="shared" si="4"/>
        <v>300</v>
      </c>
      <c r="G15" s="21">
        <f t="shared" si="4"/>
        <v>300</v>
      </c>
      <c r="H15" s="21">
        <f t="shared" si="4"/>
        <v>300</v>
      </c>
      <c r="I15" s="21">
        <f t="shared" si="4"/>
        <v>300</v>
      </c>
      <c r="J15" s="21">
        <f t="shared" si="4"/>
        <v>300</v>
      </c>
      <c r="K15" s="21">
        <f t="shared" si="4"/>
        <v>300</v>
      </c>
      <c r="L15" s="21">
        <f t="shared" si="4"/>
        <v>300</v>
      </c>
      <c r="M15" s="119" t="s">
        <v>373</v>
      </c>
    </row>
    <row r="16">
      <c r="A16" s="21" t="s">
        <v>374</v>
      </c>
      <c r="B16" s="21" t="s">
        <v>375</v>
      </c>
      <c r="C16" s="14">
        <v>1000.0</v>
      </c>
      <c r="D16" s="21">
        <f t="shared" ref="D16:L16" si="5">C16</f>
        <v>1000</v>
      </c>
      <c r="E16" s="21">
        <f t="shared" si="5"/>
        <v>1000</v>
      </c>
      <c r="F16" s="21">
        <f t="shared" si="5"/>
        <v>1000</v>
      </c>
      <c r="G16" s="21">
        <f t="shared" si="5"/>
        <v>1000</v>
      </c>
      <c r="H16" s="21">
        <f t="shared" si="5"/>
        <v>1000</v>
      </c>
      <c r="I16" s="21">
        <f t="shared" si="5"/>
        <v>1000</v>
      </c>
      <c r="J16" s="21">
        <f t="shared" si="5"/>
        <v>1000</v>
      </c>
      <c r="K16" s="21">
        <f t="shared" si="5"/>
        <v>1000</v>
      </c>
      <c r="L16" s="21">
        <f t="shared" si="5"/>
        <v>1000</v>
      </c>
      <c r="M16" s="119" t="s">
        <v>373</v>
      </c>
    </row>
    <row r="17">
      <c r="A17" s="21" t="s">
        <v>376</v>
      </c>
      <c r="B17" s="21" t="s">
        <v>377</v>
      </c>
      <c r="C17" s="14">
        <v>2.0</v>
      </c>
      <c r="D17" s="21">
        <f t="shared" ref="D17:L17" si="6">C17</f>
        <v>2</v>
      </c>
      <c r="E17" s="21">
        <f t="shared" si="6"/>
        <v>2</v>
      </c>
      <c r="F17" s="21">
        <f t="shared" si="6"/>
        <v>2</v>
      </c>
      <c r="G17" s="21">
        <f t="shared" si="6"/>
        <v>2</v>
      </c>
      <c r="H17" s="21">
        <f t="shared" si="6"/>
        <v>2</v>
      </c>
      <c r="I17" s="21">
        <f t="shared" si="6"/>
        <v>2</v>
      </c>
      <c r="J17" s="21">
        <f t="shared" si="6"/>
        <v>2</v>
      </c>
      <c r="K17" s="21">
        <f t="shared" si="6"/>
        <v>2</v>
      </c>
      <c r="L17" s="21">
        <f t="shared" si="6"/>
        <v>2</v>
      </c>
      <c r="M17" s="119"/>
    </row>
    <row r="18">
      <c r="A18" s="21" t="s">
        <v>378</v>
      </c>
      <c r="B18" s="21" t="s">
        <v>377</v>
      </c>
      <c r="C18" s="14">
        <v>500.0</v>
      </c>
      <c r="D18" s="21">
        <f t="shared" ref="D18:L18" si="7">C18</f>
        <v>500</v>
      </c>
      <c r="E18" s="21">
        <f t="shared" si="7"/>
        <v>500</v>
      </c>
      <c r="F18" s="21">
        <f t="shared" si="7"/>
        <v>500</v>
      </c>
      <c r="G18" s="21">
        <f t="shared" si="7"/>
        <v>500</v>
      </c>
      <c r="H18" s="21">
        <f t="shared" si="7"/>
        <v>500</v>
      </c>
      <c r="I18" s="21">
        <f t="shared" si="7"/>
        <v>500</v>
      </c>
      <c r="J18" s="21">
        <f t="shared" si="7"/>
        <v>500</v>
      </c>
      <c r="K18" s="21">
        <f t="shared" si="7"/>
        <v>500</v>
      </c>
      <c r="L18" s="21">
        <f t="shared" si="7"/>
        <v>500</v>
      </c>
      <c r="M18" s="119"/>
    </row>
    <row r="19">
      <c r="A19" s="21" t="s">
        <v>379</v>
      </c>
      <c r="B19" s="21" t="s">
        <v>377</v>
      </c>
      <c r="C19" s="21">
        <f t="shared" ref="C19:L19" si="8">C15*C16*C17*(column()-2)</f>
        <v>600000</v>
      </c>
      <c r="D19" s="21">
        <f t="shared" si="8"/>
        <v>1200000</v>
      </c>
      <c r="E19" s="21">
        <f t="shared" si="8"/>
        <v>1800000</v>
      </c>
      <c r="F19" s="21">
        <f t="shared" si="8"/>
        <v>2400000</v>
      </c>
      <c r="G19" s="21">
        <f t="shared" si="8"/>
        <v>3000000</v>
      </c>
      <c r="H19" s="21">
        <f t="shared" si="8"/>
        <v>3600000</v>
      </c>
      <c r="I19" s="21">
        <f t="shared" si="8"/>
        <v>4200000</v>
      </c>
      <c r="J19" s="21">
        <f t="shared" si="8"/>
        <v>4800000</v>
      </c>
      <c r="K19" s="21">
        <f t="shared" si="8"/>
        <v>5400000</v>
      </c>
      <c r="L19" s="21">
        <f t="shared" si="8"/>
        <v>6000000</v>
      </c>
      <c r="M19" s="119"/>
    </row>
    <row r="20">
      <c r="A20" s="21" t="s">
        <v>383</v>
      </c>
      <c r="B20" s="21" t="s">
        <v>377</v>
      </c>
      <c r="C20" s="14">
        <f t="shared" ref="C20:L20" si="9">0.01*C19</f>
        <v>6000</v>
      </c>
      <c r="D20" s="14">
        <f t="shared" si="9"/>
        <v>12000</v>
      </c>
      <c r="E20" s="14">
        <f t="shared" si="9"/>
        <v>18000</v>
      </c>
      <c r="F20" s="14">
        <f t="shared" si="9"/>
        <v>24000</v>
      </c>
      <c r="G20" s="14">
        <f t="shared" si="9"/>
        <v>30000</v>
      </c>
      <c r="H20" s="14">
        <f t="shared" si="9"/>
        <v>36000</v>
      </c>
      <c r="I20" s="14">
        <f t="shared" si="9"/>
        <v>42000</v>
      </c>
      <c r="J20" s="14">
        <f t="shared" si="9"/>
        <v>48000</v>
      </c>
      <c r="K20" s="14">
        <f t="shared" si="9"/>
        <v>54000</v>
      </c>
      <c r="L20" s="14">
        <f t="shared" si="9"/>
        <v>60000</v>
      </c>
      <c r="M20" s="121" t="s">
        <v>552</v>
      </c>
    </row>
    <row r="21">
      <c r="A21" s="21" t="s">
        <v>385</v>
      </c>
      <c r="B21" s="21" t="s">
        <v>377</v>
      </c>
      <c r="C21" s="14">
        <f t="shared" ref="C21:L21" si="10">C15*C18*(column()-2)</f>
        <v>150000</v>
      </c>
      <c r="D21" s="14">
        <f t="shared" si="10"/>
        <v>300000</v>
      </c>
      <c r="E21" s="14">
        <f t="shared" si="10"/>
        <v>450000</v>
      </c>
      <c r="F21" s="14">
        <f t="shared" si="10"/>
        <v>600000</v>
      </c>
      <c r="G21" s="14">
        <f t="shared" si="10"/>
        <v>750000</v>
      </c>
      <c r="H21" s="14">
        <f t="shared" si="10"/>
        <v>900000</v>
      </c>
      <c r="I21" s="14">
        <f t="shared" si="10"/>
        <v>1050000</v>
      </c>
      <c r="J21" s="14">
        <f t="shared" si="10"/>
        <v>1200000</v>
      </c>
      <c r="K21" s="14">
        <f t="shared" si="10"/>
        <v>1350000</v>
      </c>
      <c r="L21" s="14">
        <f t="shared" si="10"/>
        <v>1500000</v>
      </c>
      <c r="M21" s="119"/>
    </row>
    <row r="22">
      <c r="A22" s="18" t="s">
        <v>387</v>
      </c>
      <c r="B22" s="18" t="s">
        <v>352</v>
      </c>
      <c r="C22" s="20">
        <v>2.0</v>
      </c>
      <c r="D22" s="18">
        <v>2.0</v>
      </c>
      <c r="E22" s="18">
        <v>2.0</v>
      </c>
      <c r="F22" s="18">
        <v>2.0</v>
      </c>
      <c r="G22" s="18">
        <v>2.0</v>
      </c>
      <c r="H22" s="2">
        <v>2.0</v>
      </c>
      <c r="I22" s="2">
        <v>2.0</v>
      </c>
      <c r="J22" s="2">
        <v>2.0</v>
      </c>
      <c r="K22" s="2">
        <v>2.0</v>
      </c>
      <c r="L22" s="2">
        <v>2.0</v>
      </c>
      <c r="M22" s="121" t="s">
        <v>388</v>
      </c>
    </row>
    <row r="23">
      <c r="A23" s="21" t="s">
        <v>389</v>
      </c>
      <c r="B23" s="21" t="s">
        <v>390</v>
      </c>
      <c r="C23" s="127">
        <v>1896.0</v>
      </c>
      <c r="D23" s="127">
        <v>1953.0</v>
      </c>
      <c r="E23" s="127">
        <v>2012.0</v>
      </c>
      <c r="F23" s="127">
        <v>2073.0</v>
      </c>
      <c r="G23" s="127">
        <v>2136.0</v>
      </c>
      <c r="H23" s="127">
        <v>2201.0</v>
      </c>
      <c r="I23" s="127">
        <v>2268.0</v>
      </c>
      <c r="J23" s="127">
        <v>2337.0</v>
      </c>
      <c r="K23" s="127">
        <v>2408.0</v>
      </c>
      <c r="L23" s="127">
        <v>2481.0</v>
      </c>
      <c r="M23" s="119" t="s">
        <v>391</v>
      </c>
    </row>
    <row r="24">
      <c r="A24" s="21" t="s">
        <v>392</v>
      </c>
      <c r="B24" s="21" t="s">
        <v>390</v>
      </c>
      <c r="C24" s="127">
        <v>21005.0</v>
      </c>
      <c r="D24" s="127">
        <v>21636.0</v>
      </c>
      <c r="E24" s="127">
        <v>22286.0</v>
      </c>
      <c r="F24" s="127">
        <v>22955.0</v>
      </c>
      <c r="G24" s="127">
        <v>23644.0</v>
      </c>
      <c r="H24" s="127">
        <v>24354.0</v>
      </c>
      <c r="I24" s="127">
        <v>25085.0</v>
      </c>
      <c r="J24" s="127">
        <v>25838.0</v>
      </c>
      <c r="K24" s="127">
        <v>26614.0</v>
      </c>
      <c r="L24" s="127">
        <v>27413.0</v>
      </c>
      <c r="M24" s="119" t="s">
        <v>391</v>
      </c>
    </row>
    <row r="25">
      <c r="A25" s="21" t="s">
        <v>393</v>
      </c>
      <c r="B25" s="21" t="s">
        <v>390</v>
      </c>
      <c r="C25" s="127">
        <v>467.0</v>
      </c>
      <c r="D25" s="127">
        <v>482.0</v>
      </c>
      <c r="E25" s="127">
        <v>497.0</v>
      </c>
      <c r="F25" s="127">
        <v>512.0</v>
      </c>
      <c r="G25" s="127">
        <v>528.0</v>
      </c>
      <c r="H25" s="127">
        <v>544.0</v>
      </c>
      <c r="I25" s="127">
        <v>561.0</v>
      </c>
      <c r="J25" s="127">
        <v>578.0</v>
      </c>
      <c r="K25" s="127">
        <v>596.0</v>
      </c>
      <c r="L25" s="127">
        <v>614.0</v>
      </c>
      <c r="M25" s="119" t="s">
        <v>391</v>
      </c>
    </row>
    <row r="26">
      <c r="A26" s="21" t="s">
        <v>394</v>
      </c>
      <c r="B26" s="21" t="s">
        <v>390</v>
      </c>
      <c r="C26" s="14">
        <v>41.0</v>
      </c>
      <c r="D26" s="18">
        <v>41.0</v>
      </c>
      <c r="E26" s="18">
        <v>41.0</v>
      </c>
      <c r="F26" s="18">
        <v>41.0</v>
      </c>
      <c r="G26" s="18">
        <v>41.0</v>
      </c>
      <c r="H26" s="18">
        <v>41.0</v>
      </c>
      <c r="I26" s="18">
        <v>41.0</v>
      </c>
      <c r="J26" s="18">
        <v>41.0</v>
      </c>
      <c r="K26" s="18">
        <v>41.0</v>
      </c>
      <c r="L26" s="18">
        <v>41.0</v>
      </c>
      <c r="M26" s="119" t="s">
        <v>391</v>
      </c>
    </row>
    <row r="27">
      <c r="A27" s="21" t="s">
        <v>395</v>
      </c>
      <c r="B27" s="21" t="s">
        <v>365</v>
      </c>
      <c r="C27" s="128">
        <v>3.0</v>
      </c>
      <c r="D27" s="128">
        <v>3.0</v>
      </c>
      <c r="E27" s="128">
        <v>3.0</v>
      </c>
      <c r="F27" s="128">
        <v>3.0</v>
      </c>
      <c r="G27" s="128">
        <v>3.0</v>
      </c>
      <c r="H27" s="128">
        <v>3.0</v>
      </c>
      <c r="I27" s="128">
        <v>3.0</v>
      </c>
      <c r="J27" s="128">
        <v>3.0</v>
      </c>
      <c r="K27" s="128">
        <v>3.0</v>
      </c>
      <c r="L27" s="128">
        <v>3.0</v>
      </c>
      <c r="M27" s="119"/>
    </row>
    <row r="28">
      <c r="A28" s="21"/>
      <c r="B28" s="21"/>
      <c r="C28" s="126"/>
      <c r="D28" s="126"/>
      <c r="E28" s="126"/>
      <c r="F28" s="126"/>
      <c r="G28" s="126"/>
      <c r="H28" s="126"/>
      <c r="I28" s="126"/>
      <c r="J28" s="126"/>
      <c r="K28" s="126"/>
      <c r="L28" s="126"/>
      <c r="M28" s="119"/>
    </row>
    <row r="29">
      <c r="A29" s="114" t="s">
        <v>553</v>
      </c>
      <c r="B29" s="114" t="s">
        <v>554</v>
      </c>
      <c r="C29" s="114">
        <v>12.0</v>
      </c>
      <c r="D29" s="114">
        <v>0.0</v>
      </c>
      <c r="E29" s="126"/>
      <c r="F29" s="126"/>
      <c r="G29" s="126"/>
      <c r="H29" s="126"/>
      <c r="I29" s="126"/>
      <c r="J29" s="126"/>
      <c r="K29" s="126"/>
      <c r="L29" s="126"/>
      <c r="M29" s="119"/>
    </row>
    <row r="30">
      <c r="A30" s="117" t="s">
        <v>398</v>
      </c>
      <c r="B30" s="117" t="s">
        <v>345</v>
      </c>
      <c r="C30" s="118" t="s">
        <v>539</v>
      </c>
      <c r="D30" s="118" t="s">
        <v>540</v>
      </c>
      <c r="E30" s="118" t="s">
        <v>541</v>
      </c>
      <c r="F30" s="118" t="s">
        <v>542</v>
      </c>
      <c r="G30" s="118" t="s">
        <v>543</v>
      </c>
      <c r="H30" s="118" t="s">
        <v>544</v>
      </c>
      <c r="I30" s="118" t="s">
        <v>545</v>
      </c>
      <c r="J30" s="118" t="s">
        <v>546</v>
      </c>
      <c r="K30" s="118" t="s">
        <v>547</v>
      </c>
      <c r="L30" s="118" t="s">
        <v>548</v>
      </c>
      <c r="M30" s="117" t="s">
        <v>350</v>
      </c>
    </row>
    <row r="31">
      <c r="A31" s="18" t="s">
        <v>403</v>
      </c>
      <c r="B31" s="18" t="s">
        <v>400</v>
      </c>
      <c r="C31" s="127">
        <v>17000.0</v>
      </c>
      <c r="D31" s="127">
        <v>17000.0</v>
      </c>
      <c r="E31" s="127">
        <v>17000.0</v>
      </c>
      <c r="F31" s="127">
        <v>17000.0</v>
      </c>
      <c r="G31" s="127">
        <v>17000.0</v>
      </c>
      <c r="H31" s="127">
        <v>17000.0</v>
      </c>
      <c r="I31" s="127">
        <v>17000.0</v>
      </c>
      <c r="J31" s="127">
        <v>17000.0</v>
      </c>
      <c r="K31" s="127">
        <v>17000.0</v>
      </c>
      <c r="L31" s="127">
        <v>17000.0</v>
      </c>
      <c r="M31" s="119"/>
    </row>
    <row r="32">
      <c r="A32" s="21"/>
      <c r="B32" s="21"/>
      <c r="C32" s="29"/>
      <c r="D32" s="29"/>
      <c r="E32" s="29"/>
      <c r="F32" s="29"/>
      <c r="G32" s="29"/>
      <c r="H32" s="29"/>
      <c r="J32" s="127"/>
      <c r="M32" s="119"/>
    </row>
    <row r="33">
      <c r="A33" s="21" t="s">
        <v>404</v>
      </c>
      <c r="B33" s="21" t="s">
        <v>360</v>
      </c>
      <c r="C33" s="29">
        <f>4.5/57000*'Ops Storage'!visitsPerNight*'Ops Storage'!nightsPerYear</f>
        <v>23.68421053</v>
      </c>
      <c r="D33" s="29">
        <f>4.5/57000*'Ops Storage'!visitsPerNight*'Ops Storage'!nightsPerYear</f>
        <v>23.68421053</v>
      </c>
      <c r="E33" s="29">
        <f>4.5/57000*'Ops Storage'!visitsPerNight*'Ops Storage'!nightsPerYear</f>
        <v>23.68421053</v>
      </c>
      <c r="F33" s="29">
        <f>4.5/57000*'Ops Storage'!visitsPerNight*'Ops Storage'!nightsPerYear</f>
        <v>23.68421053</v>
      </c>
      <c r="G33" s="29">
        <f>4.5/57000*'Ops Storage'!visitsPerNight*'Ops Storage'!nightsPerYear</f>
        <v>23.68421053</v>
      </c>
      <c r="H33" s="29">
        <f>4.5/57000*'Ops Storage'!visitsPerNight*'Ops Storage'!nightsPerYear</f>
        <v>23.68421053</v>
      </c>
      <c r="I33" s="29">
        <f>4.5/57000*'Ops Storage'!visitsPerNight*'Ops Storage'!nightsPerYear</f>
        <v>23.68421053</v>
      </c>
      <c r="J33" s="29">
        <f>4.5/57000*'Ops Storage'!visitsPerNight*'Ops Storage'!nightsPerYear</f>
        <v>23.68421053</v>
      </c>
      <c r="K33" s="29">
        <f>4.5/57000*'Ops Storage'!visitsPerNight*'Ops Storage'!nightsPerYear</f>
        <v>23.68421053</v>
      </c>
      <c r="L33" s="29">
        <f>4.5/57000*'Ops Storage'!visitsPerNight*'Ops Storage'!nightsPerYear</f>
        <v>23.68421053</v>
      </c>
      <c r="M33" s="119" t="s">
        <v>405</v>
      </c>
    </row>
    <row r="34">
      <c r="A34" s="18" t="s">
        <v>417</v>
      </c>
      <c r="B34" s="21"/>
      <c r="C34" s="29"/>
      <c r="D34" s="29"/>
      <c r="E34" s="29"/>
      <c r="F34" s="29"/>
      <c r="G34" s="29"/>
      <c r="H34" s="29"/>
      <c r="I34" s="29"/>
      <c r="J34" s="29"/>
      <c r="K34" s="29"/>
      <c r="L34" s="29"/>
      <c r="M34" s="119"/>
    </row>
    <row r="35">
      <c r="A35" s="18" t="s">
        <v>555</v>
      </c>
      <c r="B35" s="21" t="s">
        <v>360</v>
      </c>
      <c r="C35" s="29">
        <f>sum(C19:C21)*C11*C12</f>
        <v>4816.027041</v>
      </c>
      <c r="D35" s="29">
        <f t="shared" ref="D35:L35" si="11">sum(D19:D21)*D11*D12-sum(C19:C21)*C11*C12</f>
        <v>4816.027041</v>
      </c>
      <c r="E35" s="29">
        <f t="shared" si="11"/>
        <v>4816.027041</v>
      </c>
      <c r="F35" s="29">
        <f t="shared" si="11"/>
        <v>4816.027041</v>
      </c>
      <c r="G35" s="29">
        <f t="shared" si="11"/>
        <v>4816.027041</v>
      </c>
      <c r="H35" s="29">
        <f t="shared" si="11"/>
        <v>4816.027041</v>
      </c>
      <c r="I35" s="29">
        <f t="shared" si="11"/>
        <v>4816.027041</v>
      </c>
      <c r="J35" s="29">
        <f t="shared" si="11"/>
        <v>4816.027041</v>
      </c>
      <c r="K35" s="29">
        <f t="shared" si="11"/>
        <v>4816.027041</v>
      </c>
      <c r="L35" s="29">
        <f t="shared" si="11"/>
        <v>4816.027041</v>
      </c>
      <c r="M35" s="121" t="s">
        <v>419</v>
      </c>
    </row>
    <row r="36">
      <c r="A36" s="18" t="s">
        <v>420</v>
      </c>
      <c r="B36" s="18" t="s">
        <v>360</v>
      </c>
      <c r="C36" s="120">
        <f>Storage!$C$41/Storage!$C$33*C31*C22</f>
        <v>2700</v>
      </c>
      <c r="D36" s="120">
        <f>Storage!$C$41/Storage!$C$33*D31*D22</f>
        <v>2700</v>
      </c>
      <c r="E36" s="120">
        <f>Storage!$C$41/Storage!$C$33*E31*E22</f>
        <v>2700</v>
      </c>
      <c r="F36" s="120">
        <f>Storage!$C$41/Storage!$C$33*F31*F22</f>
        <v>2700</v>
      </c>
      <c r="G36" s="120">
        <f>Storage!$C$41/Storage!$C$33*G31*G22</f>
        <v>2700</v>
      </c>
      <c r="H36" s="120">
        <f>Storage!$C$41/Storage!$C$33*H31*H22</f>
        <v>2700</v>
      </c>
      <c r="I36" s="120">
        <f>Storage!$C$41/Storage!$C$33*I31*I22</f>
        <v>2700</v>
      </c>
      <c r="J36" s="120">
        <f>Storage!$C$41/Storage!$C$33*J31*J22</f>
        <v>2700</v>
      </c>
      <c r="K36" s="120">
        <f>Storage!$C$41/Storage!$C$33*K31*K22</f>
        <v>2700</v>
      </c>
      <c r="L36" s="120">
        <f>Storage!$C$41/Storage!$C$33*L31*L22</f>
        <v>2700</v>
      </c>
      <c r="M36" s="121" t="s">
        <v>421</v>
      </c>
    </row>
    <row r="37">
      <c r="A37" s="18" t="s">
        <v>422</v>
      </c>
      <c r="B37" s="21"/>
      <c r="C37" s="120"/>
      <c r="D37" s="120"/>
      <c r="E37" s="120"/>
      <c r="F37" s="120"/>
      <c r="G37" s="120"/>
      <c r="H37" s="120"/>
      <c r="I37" s="120"/>
      <c r="J37" s="120"/>
      <c r="K37" s="120"/>
      <c r="L37" s="120"/>
      <c r="M37" s="119"/>
    </row>
    <row r="38">
      <c r="A38" s="21" t="s">
        <v>428</v>
      </c>
      <c r="B38" s="21" t="s">
        <v>360</v>
      </c>
      <c r="C38" s="120">
        <f>Storage!$C$40*lsstCamImageToHscRatio*C19/C17</f>
        <v>6742.608941</v>
      </c>
      <c r="D38" s="120">
        <f>Storage!$C$40*lsstCamImageToHscRatio*D19/D17</f>
        <v>13485.21788</v>
      </c>
      <c r="E38" s="120">
        <f>Storage!$C$40*lsstCamImageToHscRatio*E19/E17</f>
        <v>20227.82682</v>
      </c>
      <c r="F38" s="120">
        <f>Storage!$C$40*lsstCamImageToHscRatio*F19/F17</f>
        <v>26970.43576</v>
      </c>
      <c r="G38" s="120">
        <f>Storage!$C$40*lsstCamImageToHscRatio*G19/G17</f>
        <v>33713.0447</v>
      </c>
      <c r="H38" s="120">
        <f>Storage!$C$40*lsstCamImageToHscRatio*H19/H17</f>
        <v>40455.65364</v>
      </c>
      <c r="I38" s="120">
        <f>Storage!$C$40*lsstCamImageToHscRatio*I19/I17</f>
        <v>47198.26258</v>
      </c>
      <c r="J38" s="120">
        <f>Storage!$C$40*lsstCamImageToHscRatio*J19/J17</f>
        <v>53940.87152</v>
      </c>
      <c r="K38" s="120">
        <f>Storage!$C$40*lsstCamImageToHscRatio*K19/K17</f>
        <v>60683.48047</v>
      </c>
      <c r="L38" s="120">
        <f>Storage!$C$40*lsstCamImageToHscRatio*L19/L17</f>
        <v>67426.08941</v>
      </c>
      <c r="M38" s="119" t="s">
        <v>429</v>
      </c>
    </row>
    <row r="39">
      <c r="A39" s="21" t="s">
        <v>430</v>
      </c>
      <c r="B39" s="21" t="s">
        <v>360</v>
      </c>
      <c r="C39" s="120">
        <f>Storage!$C$42*lsstCamImageToHscRatio*C19/C17</f>
        <v>3986.567536</v>
      </c>
      <c r="D39" s="120">
        <f>Storage!$C$42*lsstCamImageToHscRatio*D19/D17</f>
        <v>7973.135072</v>
      </c>
      <c r="E39" s="120">
        <f>Storage!$C$42*lsstCamImageToHscRatio*E19/E17</f>
        <v>11959.70261</v>
      </c>
      <c r="F39" s="120">
        <f>Storage!$C$42*lsstCamImageToHscRatio*F19/F17</f>
        <v>15946.27014</v>
      </c>
      <c r="G39" s="120">
        <f>Storage!$C$42*lsstCamImageToHscRatio*G19/G17</f>
        <v>19932.83768</v>
      </c>
      <c r="H39" s="120">
        <f>Storage!$C$42*lsstCamImageToHscRatio*H19/H17</f>
        <v>23919.40522</v>
      </c>
      <c r="I39" s="120">
        <f>Storage!$C$42*lsstCamImageToHscRatio*I19/I17</f>
        <v>27905.97275</v>
      </c>
      <c r="J39" s="120">
        <f>Storage!$C$42*lsstCamImageToHscRatio*J19/J17</f>
        <v>31892.54029</v>
      </c>
      <c r="K39" s="120">
        <f>Storage!$C$42*lsstCamImageToHscRatio*K19/K17</f>
        <v>35879.10783</v>
      </c>
      <c r="L39" s="120">
        <f>Storage!$C$42*lsstCamImageToHscRatio*L19/L17</f>
        <v>39865.67536</v>
      </c>
      <c r="M39" s="121" t="s">
        <v>431</v>
      </c>
    </row>
    <row r="40">
      <c r="A40" s="18" t="s">
        <v>556</v>
      </c>
      <c r="B40" s="18" t="s">
        <v>360</v>
      </c>
      <c r="C40" s="130">
        <v>5.0</v>
      </c>
      <c r="D40" s="130">
        <v>5.0</v>
      </c>
      <c r="E40" s="130">
        <v>5.0</v>
      </c>
      <c r="F40" s="130">
        <v>5.0</v>
      </c>
      <c r="G40" s="130">
        <v>5.0</v>
      </c>
      <c r="H40" s="130">
        <v>5.0</v>
      </c>
      <c r="I40" s="130">
        <v>5.0</v>
      </c>
      <c r="J40" s="130">
        <v>5.0</v>
      </c>
      <c r="K40" s="130">
        <v>5.0</v>
      </c>
      <c r="L40" s="130">
        <v>5.0</v>
      </c>
      <c r="M40" s="121" t="s">
        <v>557</v>
      </c>
    </row>
    <row r="41">
      <c r="A41" s="21" t="s">
        <v>432</v>
      </c>
      <c r="B41" s="21" t="s">
        <v>360</v>
      </c>
      <c r="C41" s="120">
        <f t="shared" ref="C41:L41" si="12">0.1*C38</f>
        <v>674.2608941</v>
      </c>
      <c r="D41" s="120">
        <f t="shared" si="12"/>
        <v>1348.521788</v>
      </c>
      <c r="E41" s="120">
        <f t="shared" si="12"/>
        <v>2022.782682</v>
      </c>
      <c r="F41" s="120">
        <f t="shared" si="12"/>
        <v>2697.043576</v>
      </c>
      <c r="G41" s="120">
        <f t="shared" si="12"/>
        <v>3371.30447</v>
      </c>
      <c r="H41" s="120">
        <f t="shared" si="12"/>
        <v>4045.565364</v>
      </c>
      <c r="I41" s="120">
        <f t="shared" si="12"/>
        <v>4719.826258</v>
      </c>
      <c r="J41" s="120">
        <f t="shared" si="12"/>
        <v>5394.087152</v>
      </c>
      <c r="K41" s="120">
        <f t="shared" si="12"/>
        <v>6068.348047</v>
      </c>
      <c r="L41" s="120">
        <f t="shared" si="12"/>
        <v>6742.608941</v>
      </c>
      <c r="M41" s="119" t="s">
        <v>433</v>
      </c>
    </row>
    <row r="42">
      <c r="A42" s="21" t="s">
        <v>434</v>
      </c>
      <c r="B42" s="21" t="s">
        <v>360</v>
      </c>
      <c r="C42" s="120">
        <f>C4*C23*'Ops Storage'!qservReplication/1000000000000</f>
        <v>156.42</v>
      </c>
      <c r="D42" s="120">
        <f>D4*D23*'Ops Storage'!qservReplication/1000000000000</f>
        <v>190.4175</v>
      </c>
      <c r="E42" s="120">
        <f>E4*E23*'Ops Storage'!qservReplication/1000000000000</f>
        <v>215.4852</v>
      </c>
      <c r="F42" s="120">
        <f>F4*F23*'Ops Storage'!qservReplication/1000000000000</f>
        <v>237.5658</v>
      </c>
      <c r="G42" s="120">
        <f>G4*G23*'Ops Storage'!qservReplication/1000000000000</f>
        <v>258.2424</v>
      </c>
      <c r="H42" s="120">
        <f>H4*H23*'Ops Storage'!qservReplication/1000000000000</f>
        <v>278.6466</v>
      </c>
      <c r="I42" s="120">
        <f>I4*I23*'Ops Storage'!qservReplication/1000000000000</f>
        <v>298.0152</v>
      </c>
      <c r="J42" s="120">
        <f>J4*J23*'Ops Storage'!qservReplication/1000000000000</f>
        <v>317.5983</v>
      </c>
      <c r="K42" s="120">
        <f>K4*K23*'Ops Storage'!qservReplication/1000000000000</f>
        <v>335.1936</v>
      </c>
      <c r="L42" s="120">
        <f>L4*L23*'Ops Storage'!qservReplication/1000000000000</f>
        <v>352.7982</v>
      </c>
      <c r="M42" s="119" t="s">
        <v>435</v>
      </c>
    </row>
    <row r="43">
      <c r="A43" s="21" t="s">
        <v>436</v>
      </c>
      <c r="B43" s="21" t="s">
        <v>360</v>
      </c>
      <c r="C43" s="29">
        <f t="shared" ref="C43:L43" si="13">(C4*(C23+C24)+C5*C25+C6*C26)*C27/1000000000000</f>
        <v>3509.5635</v>
      </c>
      <c r="D43" s="29">
        <f t="shared" si="13"/>
        <v>5747.7375</v>
      </c>
      <c r="E43" s="29">
        <f t="shared" si="13"/>
        <v>8017.9158</v>
      </c>
      <c r="F43" s="29">
        <f t="shared" si="13"/>
        <v>10378.1088</v>
      </c>
      <c r="G43" s="29">
        <f t="shared" si="13"/>
        <v>12880.542</v>
      </c>
      <c r="H43" s="29">
        <f t="shared" si="13"/>
        <v>15475.083</v>
      </c>
      <c r="I43" s="29">
        <f t="shared" si="13"/>
        <v>18199.1142</v>
      </c>
      <c r="J43" s="29">
        <f t="shared" si="13"/>
        <v>21042.0225</v>
      </c>
      <c r="K43" s="29">
        <f t="shared" si="13"/>
        <v>23964.8424</v>
      </c>
      <c r="L43" s="29">
        <f t="shared" si="13"/>
        <v>27009.6468</v>
      </c>
      <c r="M43" s="155" t="s">
        <v>435</v>
      </c>
    </row>
    <row r="44">
      <c r="A44" s="21" t="s">
        <v>438</v>
      </c>
      <c r="B44" s="21" t="s">
        <v>360</v>
      </c>
      <c r="C44" s="29">
        <f>'Ops Storage'!opsScienceUsers*'Ops Storage'!opsTBPerScienceUser</f>
        <v>2000</v>
      </c>
      <c r="D44" s="29">
        <f>'Ops Storage'!opsScienceUsers*'Ops Storage'!opsTBPerScienceUser</f>
        <v>3000</v>
      </c>
      <c r="E44" s="29">
        <f>'Ops Storage'!opsScienceUsers*'Ops Storage'!opsTBPerScienceUser</f>
        <v>4200</v>
      </c>
      <c r="F44" s="29">
        <f>'Ops Storage'!opsScienceUsers*'Ops Storage'!opsTBPerScienceUser</f>
        <v>5250</v>
      </c>
      <c r="G44" s="29">
        <f>'Ops Storage'!opsScienceUsers*'Ops Storage'!opsTBPerScienceUser</f>
        <v>6000</v>
      </c>
      <c r="H44" s="29">
        <f>'Ops Storage'!opsScienceUsers*'Ops Storage'!opsTBPerScienceUser</f>
        <v>6750</v>
      </c>
      <c r="I44" s="29">
        <f>'Ops Storage'!opsScienceUsers*'Ops Storage'!opsTBPerScienceUser</f>
        <v>7500</v>
      </c>
      <c r="J44" s="29">
        <f>'Ops Storage'!opsScienceUsers*'Ops Storage'!opsTBPerScienceUser</f>
        <v>8250</v>
      </c>
      <c r="K44" s="29">
        <f>'Ops Storage'!opsScienceUsers*'Ops Storage'!opsTBPerScienceUser</f>
        <v>9000</v>
      </c>
      <c r="L44" s="29">
        <f>'Ops Storage'!opsScienceUsers*'Ops Storage'!opsTBPerScienceUser</f>
        <v>9750</v>
      </c>
      <c r="M44" s="119"/>
    </row>
    <row r="45">
      <c r="A45" s="21" t="s">
        <v>439</v>
      </c>
      <c r="B45" s="21" t="s">
        <v>360</v>
      </c>
      <c r="C45" s="29">
        <f t="shared" ref="C45:L45" si="14">0.2*sum(C33:C44)</f>
        <v>4922.826424</v>
      </c>
      <c r="D45" s="29">
        <f t="shared" si="14"/>
        <v>7857.948199</v>
      </c>
      <c r="E45" s="29">
        <f t="shared" si="14"/>
        <v>10837.68487</v>
      </c>
      <c r="F45" s="29">
        <f t="shared" si="14"/>
        <v>13804.82707</v>
      </c>
      <c r="G45" s="29">
        <f t="shared" si="14"/>
        <v>16740.1365</v>
      </c>
      <c r="H45" s="29">
        <f t="shared" si="14"/>
        <v>19693.81302</v>
      </c>
      <c r="I45" s="29">
        <f t="shared" si="14"/>
        <v>22673.18045</v>
      </c>
      <c r="J45" s="29">
        <f t="shared" si="14"/>
        <v>25676.3662</v>
      </c>
      <c r="K45" s="29">
        <f t="shared" si="14"/>
        <v>28695.13672</v>
      </c>
      <c r="L45" s="29">
        <f t="shared" si="14"/>
        <v>31738.30599</v>
      </c>
      <c r="M45" s="119" t="s">
        <v>440</v>
      </c>
    </row>
    <row r="46">
      <c r="A46" s="21"/>
      <c r="B46" s="21"/>
      <c r="C46" s="120"/>
      <c r="D46" s="120"/>
      <c r="E46" s="120"/>
      <c r="F46" s="120"/>
      <c r="G46" s="120"/>
      <c r="H46" s="120"/>
      <c r="I46" s="120"/>
      <c r="J46" s="120"/>
      <c r="K46" s="120"/>
      <c r="L46" s="120"/>
      <c r="M46" s="119"/>
    </row>
    <row r="47">
      <c r="A47" s="114" t="s">
        <v>558</v>
      </c>
      <c r="B47" s="114" t="s">
        <v>559</v>
      </c>
      <c r="C47" s="114">
        <v>12.0</v>
      </c>
      <c r="D47" s="114">
        <v>0.0</v>
      </c>
      <c r="E47" s="120"/>
      <c r="F47" s="120"/>
      <c r="G47" s="120"/>
      <c r="H47" s="120"/>
      <c r="I47" s="120"/>
      <c r="J47" s="120"/>
      <c r="K47" s="120"/>
      <c r="L47" s="120"/>
      <c r="M47" s="119"/>
    </row>
    <row r="48">
      <c r="A48" s="118" t="s">
        <v>560</v>
      </c>
      <c r="B48" s="117" t="s">
        <v>345</v>
      </c>
      <c r="C48" s="118" t="str">
        <f t="shared" ref="C48:L48" si="15">C30</f>
        <v>LOY1</v>
      </c>
      <c r="D48" s="118" t="str">
        <f t="shared" si="15"/>
        <v>LOY2</v>
      </c>
      <c r="E48" s="118" t="str">
        <f t="shared" si="15"/>
        <v>LOY3</v>
      </c>
      <c r="F48" s="118" t="str">
        <f t="shared" si="15"/>
        <v>LOY4</v>
      </c>
      <c r="G48" s="118" t="str">
        <f t="shared" si="15"/>
        <v>LOY5</v>
      </c>
      <c r="H48" s="118" t="str">
        <f t="shared" si="15"/>
        <v>LOY6</v>
      </c>
      <c r="I48" s="118" t="str">
        <f t="shared" si="15"/>
        <v>LOY7</v>
      </c>
      <c r="J48" s="118" t="str">
        <f t="shared" si="15"/>
        <v>LOY8</v>
      </c>
      <c r="K48" s="118" t="str">
        <f t="shared" si="15"/>
        <v>LOY9</v>
      </c>
      <c r="L48" s="118" t="str">
        <f t="shared" si="15"/>
        <v>LOY10</v>
      </c>
      <c r="M48" s="117" t="s">
        <v>350</v>
      </c>
    </row>
    <row r="49">
      <c r="A49" s="18" t="s">
        <v>404</v>
      </c>
      <c r="B49" s="18" t="s">
        <v>360</v>
      </c>
      <c r="C49" s="29">
        <f t="shared" ref="C49:L49" si="16">C33</f>
        <v>23.68421053</v>
      </c>
      <c r="D49" s="29">
        <f t="shared" si="16"/>
        <v>23.68421053</v>
      </c>
      <c r="E49" s="29">
        <f t="shared" si="16"/>
        <v>23.68421053</v>
      </c>
      <c r="F49" s="29">
        <f t="shared" si="16"/>
        <v>23.68421053</v>
      </c>
      <c r="G49" s="29">
        <f t="shared" si="16"/>
        <v>23.68421053</v>
      </c>
      <c r="H49" s="29">
        <f t="shared" si="16"/>
        <v>23.68421053</v>
      </c>
      <c r="I49" s="29">
        <f t="shared" si="16"/>
        <v>23.68421053</v>
      </c>
      <c r="J49" s="29">
        <f t="shared" si="16"/>
        <v>23.68421053</v>
      </c>
      <c r="K49" s="29">
        <f t="shared" si="16"/>
        <v>23.68421053</v>
      </c>
      <c r="L49" s="29">
        <f t="shared" si="16"/>
        <v>23.68421053</v>
      </c>
      <c r="M49" s="119"/>
    </row>
    <row r="50">
      <c r="A50" s="18" t="s">
        <v>434</v>
      </c>
      <c r="B50" s="18" t="s">
        <v>360</v>
      </c>
      <c r="C50" s="29">
        <f>Storage!F63</f>
        <v>182.49</v>
      </c>
      <c r="D50" s="29">
        <f>C42+D42</f>
        <v>346.8375</v>
      </c>
      <c r="E50" s="29">
        <f t="shared" ref="E50:L50" si="17">C42+D42+E42</f>
        <v>562.3227</v>
      </c>
      <c r="F50" s="29">
        <f t="shared" si="17"/>
        <v>643.4685</v>
      </c>
      <c r="G50" s="29">
        <f t="shared" si="17"/>
        <v>711.2934</v>
      </c>
      <c r="H50" s="29">
        <f t="shared" si="17"/>
        <v>774.4548</v>
      </c>
      <c r="I50" s="29">
        <f t="shared" si="17"/>
        <v>834.9042</v>
      </c>
      <c r="J50" s="29">
        <f t="shared" si="17"/>
        <v>894.2601</v>
      </c>
      <c r="K50" s="29">
        <f t="shared" si="17"/>
        <v>950.8071</v>
      </c>
      <c r="L50" s="29">
        <f t="shared" si="17"/>
        <v>1005.5901</v>
      </c>
      <c r="M50" s="119"/>
    </row>
    <row r="51">
      <c r="A51" s="131" t="s">
        <v>445</v>
      </c>
      <c r="B51" s="132" t="s">
        <v>360</v>
      </c>
      <c r="C51" s="133">
        <f t="shared" ref="C51:L51" si="18">sum(C49:C50)</f>
        <v>206.1742105</v>
      </c>
      <c r="D51" s="133">
        <f t="shared" si="18"/>
        <v>370.5217105</v>
      </c>
      <c r="E51" s="133">
        <f t="shared" si="18"/>
        <v>586.0069105</v>
      </c>
      <c r="F51" s="133">
        <f t="shared" si="18"/>
        <v>667.1527105</v>
      </c>
      <c r="G51" s="133">
        <f t="shared" si="18"/>
        <v>734.9776105</v>
      </c>
      <c r="H51" s="133">
        <f t="shared" si="18"/>
        <v>798.1390105</v>
      </c>
      <c r="I51" s="133">
        <f t="shared" si="18"/>
        <v>858.5884105</v>
      </c>
      <c r="J51" s="133">
        <f t="shared" si="18"/>
        <v>917.9443105</v>
      </c>
      <c r="K51" s="133">
        <f t="shared" si="18"/>
        <v>974.4913105</v>
      </c>
      <c r="L51" s="133">
        <f t="shared" si="18"/>
        <v>1029.274311</v>
      </c>
      <c r="M51" s="119" t="s">
        <v>463</v>
      </c>
    </row>
    <row r="52">
      <c r="A52" s="21"/>
      <c r="B52" s="21"/>
      <c r="C52" s="29"/>
      <c r="D52" s="29"/>
      <c r="E52" s="29"/>
      <c r="F52" s="29"/>
      <c r="G52" s="29"/>
      <c r="H52" s="29"/>
      <c r="I52" s="29"/>
      <c r="J52" s="29"/>
      <c r="K52" s="29"/>
      <c r="L52" s="29"/>
      <c r="M52" s="119"/>
    </row>
    <row r="53">
      <c r="A53" s="132" t="s">
        <v>464</v>
      </c>
      <c r="B53" s="132" t="s">
        <v>360</v>
      </c>
      <c r="C53" s="133">
        <f>Storage!F66</f>
        <v>24080.6694</v>
      </c>
      <c r="D53" s="133">
        <f t="shared" ref="D53:L53" si="19">sum(D38:D45)</f>
        <v>39607.97794</v>
      </c>
      <c r="E53" s="133">
        <f t="shared" si="19"/>
        <v>57486.39798</v>
      </c>
      <c r="F53" s="133">
        <f t="shared" si="19"/>
        <v>75289.25115</v>
      </c>
      <c r="G53" s="133">
        <f t="shared" si="19"/>
        <v>92901.10775</v>
      </c>
      <c r="H53" s="133">
        <f t="shared" si="19"/>
        <v>110623.1668</v>
      </c>
      <c r="I53" s="133">
        <f t="shared" si="19"/>
        <v>128499.3714</v>
      </c>
      <c r="J53" s="133">
        <f t="shared" si="19"/>
        <v>146518.486</v>
      </c>
      <c r="K53" s="133">
        <f t="shared" si="19"/>
        <v>164631.1091</v>
      </c>
      <c r="L53" s="133">
        <f t="shared" si="19"/>
        <v>182890.1247</v>
      </c>
      <c r="M53" s="119" t="s">
        <v>561</v>
      </c>
    </row>
    <row r="54">
      <c r="A54" s="18"/>
      <c r="B54" s="18"/>
      <c r="C54" s="29"/>
      <c r="D54" s="29"/>
      <c r="E54" s="29"/>
      <c r="F54" s="29"/>
      <c r="G54" s="29"/>
      <c r="H54" s="29"/>
      <c r="I54" s="29"/>
      <c r="J54" s="29"/>
      <c r="K54" s="29"/>
      <c r="L54" s="29"/>
      <c r="M54" s="121"/>
    </row>
    <row r="55">
      <c r="A55" s="131" t="s">
        <v>466</v>
      </c>
      <c r="B55" s="131" t="s">
        <v>360</v>
      </c>
      <c r="C55" s="133">
        <f>Storage!F68</f>
        <v>4094.49075</v>
      </c>
      <c r="D55" s="133">
        <f>D43+C43</f>
        <v>9257.301</v>
      </c>
      <c r="E55" s="133">
        <f t="shared" ref="E55:L55" si="20">E43+D43+C43</f>
        <v>17275.2168</v>
      </c>
      <c r="F55" s="133">
        <f t="shared" si="20"/>
        <v>24143.7621</v>
      </c>
      <c r="G55" s="133">
        <f t="shared" si="20"/>
        <v>31276.5666</v>
      </c>
      <c r="H55" s="133">
        <f t="shared" si="20"/>
        <v>38733.7338</v>
      </c>
      <c r="I55" s="133">
        <f t="shared" si="20"/>
        <v>46554.7392</v>
      </c>
      <c r="J55" s="133">
        <f t="shared" si="20"/>
        <v>54716.2197</v>
      </c>
      <c r="K55" s="133">
        <f t="shared" si="20"/>
        <v>63205.9791</v>
      </c>
      <c r="L55" s="133">
        <f t="shared" si="20"/>
        <v>72016.5117</v>
      </c>
      <c r="M55" s="121" t="s">
        <v>562</v>
      </c>
    </row>
    <row r="56">
      <c r="A56" s="21"/>
      <c r="B56" s="21"/>
      <c r="C56" s="29"/>
      <c r="D56" s="29"/>
      <c r="E56" s="29"/>
      <c r="F56" s="29"/>
      <c r="G56" s="29"/>
      <c r="H56" s="29"/>
      <c r="I56" s="29"/>
      <c r="J56" s="29"/>
      <c r="K56" s="29"/>
      <c r="L56" s="29"/>
      <c r="M56" s="121"/>
    </row>
    <row r="57">
      <c r="A57" s="18" t="s">
        <v>418</v>
      </c>
      <c r="B57" s="21" t="s">
        <v>360</v>
      </c>
      <c r="C57" s="29">
        <f>Storage!F76</f>
        <v>6981.965128</v>
      </c>
      <c r="D57" s="29">
        <f t="shared" ref="D57:L57" si="21">D35+C57</f>
        <v>11797.99217</v>
      </c>
      <c r="E57" s="29">
        <f t="shared" si="21"/>
        <v>16614.01921</v>
      </c>
      <c r="F57" s="29">
        <f t="shared" si="21"/>
        <v>21430.04625</v>
      </c>
      <c r="G57" s="29">
        <f t="shared" si="21"/>
        <v>26246.07329</v>
      </c>
      <c r="H57" s="29">
        <f t="shared" si="21"/>
        <v>31062.10033</v>
      </c>
      <c r="I57" s="29">
        <f t="shared" si="21"/>
        <v>35878.12737</v>
      </c>
      <c r="J57" s="29">
        <f t="shared" si="21"/>
        <v>40694.15442</v>
      </c>
      <c r="K57" s="29">
        <f t="shared" si="21"/>
        <v>45510.18146</v>
      </c>
      <c r="L57" s="29">
        <f t="shared" si="21"/>
        <v>50326.2085</v>
      </c>
      <c r="M57" s="121"/>
    </row>
    <row r="58">
      <c r="A58" s="18" t="s">
        <v>428</v>
      </c>
      <c r="B58" s="18" t="s">
        <v>360</v>
      </c>
      <c r="C58" s="29">
        <f>Storage!F71</f>
        <v>1966.594274</v>
      </c>
      <c r="D58" s="29">
        <f>D38*'Ops Storage'!lossyCompression+C58</f>
        <v>5337.898745</v>
      </c>
      <c r="E58" s="29">
        <f>(E38+D38)*'Ops Storage'!lossyCompression</f>
        <v>8428.261176</v>
      </c>
      <c r="F58" s="29">
        <f>(F38+E38)*'Ops Storage'!lossyCompression</f>
        <v>11799.56565</v>
      </c>
      <c r="G58" s="29">
        <f>(G38+F38)*'Ops Storage'!lossyCompression</f>
        <v>15170.87012</v>
      </c>
      <c r="H58" s="29">
        <f>(H38+G38)*'Ops Storage'!lossyCompression</f>
        <v>18542.17459</v>
      </c>
      <c r="I58" s="29">
        <f>(I38+H38)*'Ops Storage'!lossyCompression</f>
        <v>21913.47906</v>
      </c>
      <c r="J58" s="29">
        <f>(J38+I38)*'Ops Storage'!lossyCompression</f>
        <v>25284.78353</v>
      </c>
      <c r="K58" s="29">
        <f>(K38+J38)*'Ops Storage'!lossyCompression</f>
        <v>28656.088</v>
      </c>
      <c r="L58" s="29">
        <f>(L38+K38)*'Ops Storage'!lossyCompression</f>
        <v>32027.39247</v>
      </c>
      <c r="M58" s="121" t="s">
        <v>563</v>
      </c>
    </row>
    <row r="59">
      <c r="A59" s="134" t="s">
        <v>420</v>
      </c>
      <c r="B59" s="18" t="s">
        <v>360</v>
      </c>
      <c r="C59" s="29">
        <f>Storage!F72</f>
        <v>3017.647059</v>
      </c>
      <c r="D59" s="29">
        <f>D36+C59</f>
        <v>5717.647059</v>
      </c>
      <c r="E59" s="29">
        <f t="shared" ref="E59:L59" si="22">E36+D36+C36</f>
        <v>8100</v>
      </c>
      <c r="F59" s="29">
        <f t="shared" si="22"/>
        <v>8100</v>
      </c>
      <c r="G59" s="29">
        <f t="shared" si="22"/>
        <v>8100</v>
      </c>
      <c r="H59" s="29">
        <f t="shared" si="22"/>
        <v>8100</v>
      </c>
      <c r="I59" s="29">
        <f t="shared" si="22"/>
        <v>8100</v>
      </c>
      <c r="J59" s="29">
        <f t="shared" si="22"/>
        <v>8100</v>
      </c>
      <c r="K59" s="29">
        <f t="shared" si="22"/>
        <v>8100</v>
      </c>
      <c r="L59" s="29">
        <f t="shared" si="22"/>
        <v>8100</v>
      </c>
      <c r="M59" s="121" t="s">
        <v>562</v>
      </c>
    </row>
    <row r="60">
      <c r="A60" s="21" t="s">
        <v>430</v>
      </c>
      <c r="B60" s="21" t="s">
        <v>360</v>
      </c>
      <c r="C60" s="29">
        <f>Storage!F73</f>
        <v>4650.995459</v>
      </c>
      <c r="D60" s="29">
        <f>D39+C60</f>
        <v>12624.13053</v>
      </c>
      <c r="E60" s="29">
        <f t="shared" ref="E60:L60" si="23">C39+D39+E39</f>
        <v>23919.40522</v>
      </c>
      <c r="F60" s="29">
        <f t="shared" si="23"/>
        <v>35879.10783</v>
      </c>
      <c r="G60" s="29">
        <f t="shared" si="23"/>
        <v>47838.81043</v>
      </c>
      <c r="H60" s="29">
        <f t="shared" si="23"/>
        <v>59798.51304</v>
      </c>
      <c r="I60" s="29">
        <f t="shared" si="23"/>
        <v>71758.21565</v>
      </c>
      <c r="J60" s="29">
        <f t="shared" si="23"/>
        <v>83717.91826</v>
      </c>
      <c r="K60" s="29">
        <f t="shared" si="23"/>
        <v>95677.62087</v>
      </c>
      <c r="L60" s="29">
        <f t="shared" si="23"/>
        <v>107637.3235</v>
      </c>
      <c r="M60" s="121" t="s">
        <v>562</v>
      </c>
    </row>
    <row r="61">
      <c r="A61" s="132" t="s">
        <v>468</v>
      </c>
      <c r="B61" s="132" t="s">
        <v>360</v>
      </c>
      <c r="C61" s="133">
        <f t="shared" ref="C61:L61" si="24">sum(C57:C60)</f>
        <v>16617.20192</v>
      </c>
      <c r="D61" s="133">
        <f t="shared" si="24"/>
        <v>35477.6685</v>
      </c>
      <c r="E61" s="133">
        <f t="shared" si="24"/>
        <v>57061.6856</v>
      </c>
      <c r="F61" s="133">
        <f t="shared" si="24"/>
        <v>77208.71972</v>
      </c>
      <c r="G61" s="133">
        <f t="shared" si="24"/>
        <v>97355.75384</v>
      </c>
      <c r="H61" s="133">
        <f t="shared" si="24"/>
        <v>117502.788</v>
      </c>
      <c r="I61" s="133">
        <f t="shared" si="24"/>
        <v>137649.8221</v>
      </c>
      <c r="J61" s="133">
        <f t="shared" si="24"/>
        <v>157796.8562</v>
      </c>
      <c r="K61" s="133">
        <f t="shared" si="24"/>
        <v>177943.8903</v>
      </c>
      <c r="L61" s="133">
        <f t="shared" si="24"/>
        <v>198090.9244</v>
      </c>
      <c r="M61" s="121"/>
    </row>
    <row r="62">
      <c r="A62" s="21"/>
      <c r="B62" s="21"/>
      <c r="C62" s="29"/>
      <c r="D62" s="127"/>
      <c r="E62" s="127"/>
      <c r="F62" s="127"/>
      <c r="G62" s="127"/>
      <c r="H62" s="127"/>
      <c r="I62" s="127"/>
      <c r="J62" s="127"/>
      <c r="K62" s="127"/>
      <c r="L62" s="127"/>
      <c r="M62" s="119"/>
    </row>
    <row r="63">
      <c r="A63" s="18" t="s">
        <v>418</v>
      </c>
      <c r="B63" s="18" t="s">
        <v>360</v>
      </c>
      <c r="C63" s="29">
        <f>Storage!F76</f>
        <v>6981.965128</v>
      </c>
      <c r="D63" s="29">
        <f t="shared" ref="D63:L63" si="25">D35+C63</f>
        <v>11797.99217</v>
      </c>
      <c r="E63" s="29">
        <f t="shared" si="25"/>
        <v>16614.01921</v>
      </c>
      <c r="F63" s="29">
        <f t="shared" si="25"/>
        <v>21430.04625</v>
      </c>
      <c r="G63" s="29">
        <f t="shared" si="25"/>
        <v>26246.07329</v>
      </c>
      <c r="H63" s="29">
        <f t="shared" si="25"/>
        <v>31062.10033</v>
      </c>
      <c r="I63" s="29">
        <f t="shared" si="25"/>
        <v>35878.12737</v>
      </c>
      <c r="J63" s="29">
        <f t="shared" si="25"/>
        <v>40694.15442</v>
      </c>
      <c r="K63" s="29">
        <f t="shared" si="25"/>
        <v>45510.18146</v>
      </c>
      <c r="L63" s="29">
        <f t="shared" si="25"/>
        <v>50326.2085</v>
      </c>
      <c r="M63" s="119"/>
    </row>
    <row r="64">
      <c r="A64" s="18" t="s">
        <v>454</v>
      </c>
      <c r="B64" s="18" t="s">
        <v>360</v>
      </c>
      <c r="C64" s="29">
        <f>Storage!F77</f>
        <v>30472.8682</v>
      </c>
      <c r="D64" s="29">
        <f t="shared" ref="D64:L64" si="26">D53-SUM(D41:D43)+C64</f>
        <v>62794.16935</v>
      </c>
      <c r="E64" s="29">
        <f t="shared" si="26"/>
        <v>110024.3837</v>
      </c>
      <c r="F64" s="29">
        <f t="shared" si="26"/>
        <v>172000.9166</v>
      </c>
      <c r="G64" s="29">
        <f t="shared" si="26"/>
        <v>248391.9355</v>
      </c>
      <c r="H64" s="29">
        <f t="shared" si="26"/>
        <v>339215.8074</v>
      </c>
      <c r="I64" s="29">
        <f t="shared" si="26"/>
        <v>444498.2232</v>
      </c>
      <c r="J64" s="29">
        <f t="shared" si="26"/>
        <v>564263.0012</v>
      </c>
      <c r="K64" s="29">
        <f t="shared" si="26"/>
        <v>698525.7262</v>
      </c>
      <c r="L64" s="29">
        <f t="shared" si="26"/>
        <v>847310.797</v>
      </c>
      <c r="M64" s="119"/>
    </row>
    <row r="65">
      <c r="A65" s="18" t="s">
        <v>456</v>
      </c>
      <c r="B65" s="18" t="s">
        <v>360</v>
      </c>
      <c r="C65" s="29">
        <f>Storage!F78</f>
        <v>3017.647059</v>
      </c>
      <c r="D65" s="127">
        <f t="shared" ref="D65:L65" si="27">D36+C65</f>
        <v>5717.647059</v>
      </c>
      <c r="E65" s="127">
        <f t="shared" si="27"/>
        <v>8417.647059</v>
      </c>
      <c r="F65" s="127">
        <f t="shared" si="27"/>
        <v>11117.64706</v>
      </c>
      <c r="G65" s="127">
        <f t="shared" si="27"/>
        <v>13817.64706</v>
      </c>
      <c r="H65" s="127">
        <f t="shared" si="27"/>
        <v>16517.64706</v>
      </c>
      <c r="I65" s="127">
        <f t="shared" si="27"/>
        <v>19217.64706</v>
      </c>
      <c r="J65" s="127">
        <f t="shared" si="27"/>
        <v>21917.64706</v>
      </c>
      <c r="K65" s="127">
        <f t="shared" si="27"/>
        <v>24617.64706</v>
      </c>
      <c r="L65" s="127">
        <f t="shared" si="27"/>
        <v>27317.64706</v>
      </c>
      <c r="M65" s="119"/>
    </row>
    <row r="66">
      <c r="A66" s="132" t="s">
        <v>469</v>
      </c>
      <c r="B66" s="132" t="s">
        <v>360</v>
      </c>
      <c r="C66" s="133">
        <f t="shared" ref="C66:L66" si="28">sum(C63:C65)</f>
        <v>40472.48039</v>
      </c>
      <c r="D66" s="133">
        <f t="shared" si="28"/>
        <v>80309.80858</v>
      </c>
      <c r="E66" s="133">
        <f t="shared" si="28"/>
        <v>135056.0499</v>
      </c>
      <c r="F66" s="133">
        <f t="shared" si="28"/>
        <v>204548.6099</v>
      </c>
      <c r="G66" s="133">
        <f t="shared" si="28"/>
        <v>288455.6559</v>
      </c>
      <c r="H66" s="133">
        <f t="shared" si="28"/>
        <v>386795.5548</v>
      </c>
      <c r="I66" s="133">
        <f t="shared" si="28"/>
        <v>499593.9976</v>
      </c>
      <c r="J66" s="133">
        <f t="shared" si="28"/>
        <v>626874.8027</v>
      </c>
      <c r="K66" s="133">
        <f t="shared" si="28"/>
        <v>768653.5547</v>
      </c>
      <c r="L66" s="133">
        <f t="shared" si="28"/>
        <v>924954.6525</v>
      </c>
      <c r="M66" s="119"/>
    </row>
    <row r="67">
      <c r="A67" s="2"/>
      <c r="B67" s="2"/>
      <c r="C67" s="2"/>
      <c r="D67" s="2"/>
    </row>
    <row r="68">
      <c r="A68" s="2" t="s">
        <v>564</v>
      </c>
      <c r="B68" s="2" t="s">
        <v>565</v>
      </c>
      <c r="C68" s="2">
        <v>13.0</v>
      </c>
      <c r="D68" s="2">
        <v>0.0</v>
      </c>
    </row>
    <row r="69">
      <c r="A69" s="118" t="s">
        <v>461</v>
      </c>
      <c r="B69" s="117" t="s">
        <v>345</v>
      </c>
      <c r="C69" s="118" t="s">
        <v>539</v>
      </c>
      <c r="D69" s="118" t="s">
        <v>540</v>
      </c>
      <c r="E69" s="118" t="s">
        <v>541</v>
      </c>
      <c r="F69" s="118" t="s">
        <v>542</v>
      </c>
      <c r="G69" s="118" t="s">
        <v>543</v>
      </c>
      <c r="H69" s="118" t="s">
        <v>544</v>
      </c>
      <c r="I69" s="118" t="s">
        <v>545</v>
      </c>
      <c r="J69" s="118" t="s">
        <v>546</v>
      </c>
      <c r="K69" s="118" t="s">
        <v>547</v>
      </c>
      <c r="L69" s="118" t="s">
        <v>548</v>
      </c>
      <c r="M69" s="117" t="s">
        <v>350</v>
      </c>
    </row>
    <row r="70">
      <c r="A70" s="156" t="s">
        <v>462</v>
      </c>
      <c r="B70" s="156" t="s">
        <v>360</v>
      </c>
      <c r="C70" s="157">
        <f t="shared" ref="C70:L70" si="29">ROUND(0.1*C44 +0.1*C41,0)</f>
        <v>267</v>
      </c>
      <c r="D70" s="157">
        <f t="shared" si="29"/>
        <v>435</v>
      </c>
      <c r="E70" s="157">
        <f t="shared" si="29"/>
        <v>622</v>
      </c>
      <c r="F70" s="157">
        <f t="shared" si="29"/>
        <v>795</v>
      </c>
      <c r="G70" s="157">
        <f t="shared" si="29"/>
        <v>937</v>
      </c>
      <c r="H70" s="157">
        <f t="shared" si="29"/>
        <v>1080</v>
      </c>
      <c r="I70" s="157">
        <f t="shared" si="29"/>
        <v>1222</v>
      </c>
      <c r="J70" s="157">
        <f t="shared" si="29"/>
        <v>1364</v>
      </c>
      <c r="K70" s="157">
        <f t="shared" si="29"/>
        <v>1507</v>
      </c>
      <c r="L70" s="157">
        <f t="shared" si="29"/>
        <v>1649</v>
      </c>
      <c r="M70" s="2" t="s">
        <v>566</v>
      </c>
    </row>
    <row r="71">
      <c r="A71" s="156" t="s">
        <v>466</v>
      </c>
      <c r="B71" s="156" t="s">
        <v>360</v>
      </c>
      <c r="C71" s="158">
        <f t="shared" ref="C71:L71" si="30">C55</f>
        <v>4094.49075</v>
      </c>
      <c r="D71" s="158">
        <f t="shared" si="30"/>
        <v>9257.301</v>
      </c>
      <c r="E71" s="158">
        <f t="shared" si="30"/>
        <v>17275.2168</v>
      </c>
      <c r="F71" s="158">
        <f t="shared" si="30"/>
        <v>24143.7621</v>
      </c>
      <c r="G71" s="158">
        <f t="shared" si="30"/>
        <v>31276.5666</v>
      </c>
      <c r="H71" s="158">
        <f t="shared" si="30"/>
        <v>38733.7338</v>
      </c>
      <c r="I71" s="158">
        <f t="shared" si="30"/>
        <v>46554.7392</v>
      </c>
      <c r="J71" s="158">
        <f t="shared" si="30"/>
        <v>54716.2197</v>
      </c>
      <c r="K71" s="158">
        <f t="shared" si="30"/>
        <v>63205.9791</v>
      </c>
      <c r="L71" s="158">
        <f t="shared" si="30"/>
        <v>72016.5117</v>
      </c>
      <c r="M71" s="2" t="s">
        <v>567</v>
      </c>
    </row>
    <row r="72">
      <c r="A72" s="156" t="s">
        <v>468</v>
      </c>
      <c r="B72" s="156" t="s">
        <v>360</v>
      </c>
      <c r="C72" s="157">
        <f>round((C57+C59)*Model!$G$14,0)</f>
        <v>10500</v>
      </c>
      <c r="D72" s="157">
        <f>round((D57+D59)*Model!$G$14,0)</f>
        <v>18391</v>
      </c>
      <c r="E72" s="157">
        <f>round((E57+E59)*Model!$G$14,0)</f>
        <v>25950</v>
      </c>
      <c r="F72" s="157">
        <f>round((F57+F59)*Model!$G$14,0)</f>
        <v>31007</v>
      </c>
      <c r="G72" s="157">
        <f>round((G57+G59)*Model!$G$14,0)</f>
        <v>36063</v>
      </c>
      <c r="H72" s="157">
        <f>round((H57+H59)*Model!$G$14,0)</f>
        <v>41120</v>
      </c>
      <c r="I72" s="157">
        <f>round((I57+I59)*Model!$G$14,0)</f>
        <v>46177</v>
      </c>
      <c r="J72" s="157">
        <f>round((J57+J59)*Model!$G$14,0)</f>
        <v>51234</v>
      </c>
      <c r="K72" s="157">
        <f>round((K57+K59)*Model!$G$14,0)</f>
        <v>56291</v>
      </c>
      <c r="L72" s="157">
        <f>round((L57+L59)*Model!$G$14,0)</f>
        <v>61348</v>
      </c>
      <c r="M72" s="2" t="s">
        <v>568</v>
      </c>
    </row>
    <row r="75">
      <c r="A75" s="114" t="s">
        <v>569</v>
      </c>
      <c r="B75" s="114" t="s">
        <v>570</v>
      </c>
      <c r="C75" s="2">
        <v>4.0</v>
      </c>
    </row>
    <row r="76">
      <c r="A76" s="159" t="s">
        <v>149</v>
      </c>
      <c r="B76" s="159" t="s">
        <v>345</v>
      </c>
      <c r="C76" s="159" t="s">
        <v>571</v>
      </c>
      <c r="D76" s="159" t="s">
        <v>65</v>
      </c>
      <c r="E76" s="160"/>
      <c r="F76" s="160"/>
      <c r="G76" s="160"/>
      <c r="H76" s="160"/>
      <c r="I76" s="160"/>
      <c r="J76" s="160"/>
      <c r="K76" s="160"/>
      <c r="L76" s="160"/>
      <c r="M76" s="160"/>
      <c r="N76" s="160"/>
      <c r="O76" s="160"/>
      <c r="P76" s="160"/>
      <c r="Q76" s="160"/>
      <c r="R76" s="160"/>
      <c r="S76" s="160"/>
      <c r="T76" s="160"/>
      <c r="U76" s="160"/>
      <c r="V76" s="160"/>
      <c r="W76" s="160"/>
      <c r="X76" s="160"/>
      <c r="Y76" s="160"/>
      <c r="Z76" s="160"/>
      <c r="AA76" s="160"/>
      <c r="AB76" s="160"/>
      <c r="AC76" s="160"/>
      <c r="AD76" s="160"/>
      <c r="AE76" s="160"/>
      <c r="AF76" s="160"/>
    </row>
    <row r="77">
      <c r="A77" s="26" t="str">
        <f t="shared" ref="A77:C77" si="31">A11</f>
        <v>LSSTCam image size</v>
      </c>
      <c r="B77" s="26" t="str">
        <f t="shared" si="31"/>
        <v>TB</v>
      </c>
      <c r="C77" s="161">
        <f t="shared" si="31"/>
        <v>0.01516763366</v>
      </c>
      <c r="D77" s="2" t="s">
        <v>572</v>
      </c>
    </row>
    <row r="78">
      <c r="A78" s="21" t="s">
        <v>376</v>
      </c>
      <c r="B78" s="21" t="s">
        <v>377</v>
      </c>
      <c r="C78" s="14">
        <v>2.0</v>
      </c>
    </row>
    <row r="79">
      <c r="A79" s="21" t="s">
        <v>378</v>
      </c>
      <c r="B79" s="21" t="s">
        <v>377</v>
      </c>
      <c r="C79" s="14">
        <v>500.0</v>
      </c>
      <c r="D79" s="23"/>
      <c r="E79" s="23"/>
      <c r="F79" s="23"/>
      <c r="G79" s="23"/>
      <c r="H79" s="23"/>
      <c r="I79" s="23"/>
      <c r="J79" s="23"/>
    </row>
    <row r="80">
      <c r="A80" s="26" t="str">
        <f t="shared" ref="A80:B80" si="32">A16</f>
        <v>Visits per night</v>
      </c>
      <c r="B80" s="26" t="str">
        <f t="shared" si="32"/>
        <v>visits</v>
      </c>
      <c r="C80" s="2">
        <v>900.0</v>
      </c>
      <c r="D80" s="2" t="s">
        <v>573</v>
      </c>
    </row>
    <row r="81">
      <c r="A81" s="2" t="s">
        <v>574</v>
      </c>
      <c r="B81" s="2" t="s">
        <v>360</v>
      </c>
      <c r="C81" s="162">
        <f>C77*(C79+(C80*2))</f>
        <v>34.88555743</v>
      </c>
      <c r="D81" s="2" t="s">
        <v>575</v>
      </c>
    </row>
    <row r="82">
      <c r="A82" s="2" t="s">
        <v>576</v>
      </c>
      <c r="B82" s="2" t="s">
        <v>577</v>
      </c>
      <c r="C82" s="163">
        <v>45703.0</v>
      </c>
    </row>
    <row r="83">
      <c r="A83" s="2" t="s">
        <v>578</v>
      </c>
      <c r="B83" s="2" t="s">
        <v>577</v>
      </c>
      <c r="C83" s="163">
        <v>45848.0</v>
      </c>
    </row>
    <row r="84">
      <c r="A84" s="2" t="s">
        <v>579</v>
      </c>
      <c r="B84" s="2" t="s">
        <v>577</v>
      </c>
      <c r="C84" s="163">
        <v>45881.0</v>
      </c>
    </row>
    <row r="85">
      <c r="A85" s="2" t="s">
        <v>580</v>
      </c>
      <c r="B85" s="2" t="s">
        <v>581</v>
      </c>
      <c r="C85" s="26">
        <f>C84-C82</f>
        <v>178</v>
      </c>
      <c r="D85" s="164">
        <f>C85/365</f>
        <v>0.4876712329</v>
      </c>
    </row>
    <row r="86">
      <c r="A86" s="2"/>
      <c r="B86" s="2"/>
      <c r="C86" s="162"/>
      <c r="D86" s="164"/>
    </row>
    <row r="87">
      <c r="A87" s="2" t="s">
        <v>582</v>
      </c>
      <c r="B87" s="2" t="s">
        <v>581</v>
      </c>
      <c r="C87" s="162">
        <f>C84-C83</f>
        <v>33</v>
      </c>
      <c r="D87" s="164">
        <f>C87/365</f>
        <v>0.0904109589</v>
      </c>
    </row>
    <row r="88">
      <c r="A88" s="2" t="s">
        <v>583</v>
      </c>
      <c r="B88" s="2" t="s">
        <v>360</v>
      </c>
      <c r="C88" s="162">
        <f>C81*C85</f>
        <v>6209.629222</v>
      </c>
    </row>
    <row r="89">
      <c r="A89" s="2" t="s">
        <v>584</v>
      </c>
      <c r="B89" s="2" t="s">
        <v>360</v>
      </c>
      <c r="C89" s="162">
        <f>C87*C81</f>
        <v>1151.223395</v>
      </c>
    </row>
    <row r="92">
      <c r="A92" s="2" t="s">
        <v>585</v>
      </c>
      <c r="B92" s="2" t="s">
        <v>586</v>
      </c>
      <c r="C92" s="2">
        <v>4.0</v>
      </c>
    </row>
    <row r="93">
      <c r="A93" s="159" t="s">
        <v>149</v>
      </c>
      <c r="B93" s="159" t="s">
        <v>345</v>
      </c>
      <c r="C93" s="159" t="s">
        <v>587</v>
      </c>
      <c r="D93" s="159" t="s">
        <v>588</v>
      </c>
      <c r="E93" s="160"/>
      <c r="F93" s="160"/>
      <c r="G93" s="160"/>
      <c r="H93" s="160"/>
      <c r="I93" s="160"/>
      <c r="J93" s="160"/>
      <c r="K93" s="160"/>
      <c r="L93" s="160"/>
      <c r="M93" s="160"/>
      <c r="N93" s="160"/>
      <c r="O93" s="160"/>
      <c r="P93" s="160"/>
      <c r="Q93" s="160"/>
      <c r="R93" s="160"/>
      <c r="S93" s="160"/>
      <c r="T93" s="160"/>
      <c r="U93" s="160"/>
      <c r="V93" s="160"/>
      <c r="W93" s="160"/>
      <c r="X93" s="160"/>
      <c r="Y93" s="160"/>
      <c r="Z93" s="160"/>
      <c r="AA93" s="160"/>
      <c r="AB93" s="160"/>
      <c r="AC93" s="160"/>
      <c r="AD93" s="160"/>
      <c r="AE93" s="160"/>
      <c r="AF93" s="160"/>
    </row>
    <row r="94">
      <c r="A94" s="26" t="str">
        <f t="shared" ref="A94:B94" si="33">A55</f>
        <v>Qserv Storage</v>
      </c>
      <c r="B94" s="26" t="str">
        <f t="shared" si="33"/>
        <v>TB</v>
      </c>
      <c r="C94" s="162">
        <f>C55*$D$87</f>
        <v>370.1868349</v>
      </c>
      <c r="D94" s="162">
        <f>C55*$D$85</f>
        <v>1996.765352</v>
      </c>
    </row>
    <row r="95">
      <c r="A95" s="26" t="str">
        <f t="shared" ref="A95:A101" si="34">A56</f>
        <v/>
      </c>
      <c r="C95" s="162"/>
      <c r="D95" s="162"/>
    </row>
    <row r="96">
      <c r="A96" s="26" t="str">
        <f t="shared" si="34"/>
        <v>LSSTCam Raw Images</v>
      </c>
      <c r="B96" s="26" t="str">
        <f t="shared" ref="B96:B100" si="35">B57</f>
        <v>TB</v>
      </c>
      <c r="C96" s="162">
        <f t="shared" ref="C96:C100" si="36">C57*$D$87</f>
        <v>631.2461623</v>
      </c>
      <c r="D96" s="162">
        <f t="shared" ref="D96:D100" si="37">C57*$D$85</f>
        <v>3404.903542</v>
      </c>
    </row>
    <row r="97">
      <c r="A97" s="26" t="str">
        <f t="shared" si="34"/>
        <v>LSSTCam Output Images</v>
      </c>
      <c r="B97" s="26" t="str">
        <f t="shared" si="35"/>
        <v>TB</v>
      </c>
      <c r="C97" s="162">
        <f t="shared" si="36"/>
        <v>177.8016741</v>
      </c>
      <c r="D97" s="162">
        <f t="shared" si="37"/>
        <v>959.0514543</v>
      </c>
    </row>
    <row r="98">
      <c r="A98" s="26" t="str">
        <f t="shared" si="34"/>
        <v>LSSTCam Output Coadd Images</v>
      </c>
      <c r="B98" s="26" t="str">
        <f t="shared" si="35"/>
        <v>TB</v>
      </c>
      <c r="C98" s="162">
        <f t="shared" si="36"/>
        <v>272.8283642</v>
      </c>
      <c r="D98" s="162">
        <f t="shared" si="37"/>
        <v>1471.619662</v>
      </c>
    </row>
    <row r="99">
      <c r="A99" s="26" t="str">
        <f t="shared" si="34"/>
        <v>LSSTCam Output Parquet</v>
      </c>
      <c r="B99" s="26" t="str">
        <f t="shared" si="35"/>
        <v>TB</v>
      </c>
      <c r="C99" s="162">
        <f t="shared" si="36"/>
        <v>420.5009593</v>
      </c>
      <c r="D99" s="162">
        <f t="shared" si="37"/>
        <v>2268.156689</v>
      </c>
    </row>
    <row r="100">
      <c r="A100" s="26" t="str">
        <f t="shared" si="34"/>
        <v>Object Store</v>
      </c>
      <c r="B100" s="26" t="str">
        <f t="shared" si="35"/>
        <v>TB</v>
      </c>
      <c r="C100" s="162">
        <f t="shared" si="36"/>
        <v>1502.37716</v>
      </c>
      <c r="D100" s="162">
        <f t="shared" si="37"/>
        <v>8103.731347</v>
      </c>
    </row>
    <row r="101">
      <c r="A101" s="26" t="str">
        <f t="shared" si="34"/>
        <v/>
      </c>
      <c r="C101" s="162"/>
      <c r="D101" s="162"/>
    </row>
    <row r="102">
      <c r="A102" s="26" t="str">
        <f t="shared" ref="A102:B102" si="38">A64</f>
        <v>All Data Products/Backup</v>
      </c>
      <c r="B102" s="26" t="str">
        <f t="shared" si="38"/>
        <v>TB</v>
      </c>
      <c r="C102" s="162">
        <f t="shared" ref="C102:C103" si="40">C64*$D$87</f>
        <v>2755.081234</v>
      </c>
      <c r="D102" s="162">
        <f t="shared" ref="D102:D103" si="41">C64*$D$85</f>
        <v>14860.7412</v>
      </c>
    </row>
    <row r="103">
      <c r="A103" s="26" t="str">
        <f t="shared" ref="A103:B103" si="39">A65</f>
        <v>All Object Store-Only Products</v>
      </c>
      <c r="B103" s="26" t="str">
        <f t="shared" si="39"/>
        <v>TB</v>
      </c>
      <c r="C103" s="162">
        <f t="shared" si="40"/>
        <v>272.8283642</v>
      </c>
      <c r="D103" s="162">
        <f t="shared" si="41"/>
        <v>1471.619662</v>
      </c>
    </row>
  </sheetData>
  <printOptions gridLines="1" horizontalCentered="1"/>
  <pageMargins bottom="0.75" footer="0.0" header="0.0" left="0.25" right="0.25"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13"/>
    <col customWidth="1" min="12" max="12" width="14.5"/>
    <col customWidth="1" min="13" max="13" width="28.0"/>
  </cols>
  <sheetData>
    <row r="1">
      <c r="A1" s="114" t="s">
        <v>589</v>
      </c>
      <c r="B1" s="114" t="s">
        <v>590</v>
      </c>
      <c r="C1" s="114">
        <v>12.0</v>
      </c>
      <c r="D1" s="114">
        <v>0.0</v>
      </c>
      <c r="E1" s="114"/>
      <c r="F1" s="114"/>
      <c r="G1" s="114"/>
      <c r="H1" s="114"/>
      <c r="I1" s="114">
        <v>7.0</v>
      </c>
      <c r="J1" s="114">
        <v>0.0</v>
      </c>
      <c r="K1" s="114" t="s">
        <v>154</v>
      </c>
      <c r="L1" s="115"/>
      <c r="M1" s="121"/>
      <c r="N1" s="116"/>
      <c r="O1" s="116"/>
      <c r="P1" s="116"/>
      <c r="Q1" s="116"/>
      <c r="R1" s="116"/>
      <c r="S1" s="116"/>
      <c r="T1" s="116"/>
      <c r="U1" s="116"/>
      <c r="V1" s="116"/>
      <c r="W1" s="116"/>
      <c r="X1" s="116"/>
      <c r="Y1" s="116"/>
      <c r="Z1" s="116"/>
      <c r="AA1" s="116"/>
      <c r="AB1" s="116"/>
      <c r="AC1" s="116"/>
      <c r="AD1" s="116"/>
      <c r="AE1" s="116"/>
      <c r="AF1" s="116"/>
    </row>
    <row r="2">
      <c r="A2" s="117" t="s">
        <v>497</v>
      </c>
      <c r="B2" s="117" t="s">
        <v>472</v>
      </c>
      <c r="C2" s="118" t="s">
        <v>539</v>
      </c>
      <c r="D2" s="118" t="s">
        <v>540</v>
      </c>
      <c r="E2" s="118" t="s">
        <v>541</v>
      </c>
      <c r="F2" s="118" t="s">
        <v>542</v>
      </c>
      <c r="G2" s="118" t="s">
        <v>543</v>
      </c>
      <c r="H2" s="118" t="s">
        <v>544</v>
      </c>
      <c r="I2" s="118" t="s">
        <v>545</v>
      </c>
      <c r="J2" s="118" t="s">
        <v>546</v>
      </c>
      <c r="K2" s="118" t="s">
        <v>547</v>
      </c>
      <c r="L2" s="118" t="s">
        <v>548</v>
      </c>
      <c r="M2" s="117" t="s">
        <v>350</v>
      </c>
    </row>
    <row r="3">
      <c r="A3" s="18" t="s">
        <v>503</v>
      </c>
      <c r="B3" s="21" t="s">
        <v>360</v>
      </c>
      <c r="C3" s="120">
        <f>Storage!$F$20*lsstCamImageSize/imagesPerVisit*(column()-2)*rawCompression</f>
        <v>1911.121842</v>
      </c>
      <c r="D3" s="120">
        <f>Storage!$F$20*lsstCamImageSize/imagesPerVisit*(column()-2)*rawCompression</f>
        <v>3822.243683</v>
      </c>
      <c r="E3" s="120">
        <f>Storage!$F$20*lsstCamImageSize/imagesPerVisit*(column()-2)*rawCompression</f>
        <v>5733.365525</v>
      </c>
      <c r="F3" s="120">
        <f>Storage!$F$20*lsstCamImageSize/imagesPerVisit*(column()-2)*rawCompression</f>
        <v>7644.487367</v>
      </c>
      <c r="G3" s="120">
        <f>Storage!$F$20*lsstCamImageSize/imagesPerVisit*(column()-2)*rawCompression</f>
        <v>9555.609208</v>
      </c>
      <c r="H3" s="120">
        <f>Storage!$F$20*lsstCamImageSize/imagesPerVisit*(column()-2)*rawCompression</f>
        <v>11466.73105</v>
      </c>
      <c r="I3" s="120">
        <f>Storage!$F$20*lsstCamImageSize/imagesPerVisit*(column()-2)*rawCompression</f>
        <v>13377.85289</v>
      </c>
      <c r="J3" s="120">
        <f>Storage!$F$20*lsstCamImageSize/imagesPerVisit*(column()-2)*rawCompression</f>
        <v>15288.97473</v>
      </c>
      <c r="K3" s="120">
        <f>Storage!$F$20*lsstCamImageSize/imagesPerVisit*(column()-2)*rawCompression</f>
        <v>17200.09657</v>
      </c>
      <c r="L3" s="120">
        <f>Storage!$F$20*lsstCamImageSize/imagesPerVisit*(column()-2)*rawCompression</f>
        <v>19111.21842</v>
      </c>
      <c r="M3" s="121"/>
    </row>
    <row r="4">
      <c r="A4" s="131" t="s">
        <v>591</v>
      </c>
      <c r="B4" s="131" t="s">
        <v>476</v>
      </c>
      <c r="C4" s="147">
        <f>C3*Compute!$C$8+Compute!$F$21</f>
        <v>45264684.43</v>
      </c>
      <c r="D4" s="147">
        <f>D3*Compute!$C$8</f>
        <v>81716013.55</v>
      </c>
      <c r="E4" s="147">
        <f>E3*Compute!$C$8</f>
        <v>122574020.3</v>
      </c>
      <c r="F4" s="147">
        <f>F3*Compute!$C$8</f>
        <v>163432027.1</v>
      </c>
      <c r="G4" s="147">
        <f>G3*Compute!$C$8</f>
        <v>204290033.9</v>
      </c>
      <c r="H4" s="147">
        <f>H3*Compute!$C$8</f>
        <v>245148040.6</v>
      </c>
      <c r="I4" s="147">
        <f>I3*Compute!$C$8</f>
        <v>286006047.4</v>
      </c>
      <c r="J4" s="147">
        <f>J3*Compute!$C$8</f>
        <v>326864054.2</v>
      </c>
      <c r="K4" s="147">
        <f>K3*Compute!$C$8</f>
        <v>367722061</v>
      </c>
      <c r="L4" s="147">
        <f>L3*Compute!$C$8</f>
        <v>408580067.7</v>
      </c>
      <c r="M4" s="119"/>
    </row>
    <row r="5">
      <c r="A5" s="21"/>
      <c r="B5" s="21"/>
      <c r="C5" s="21"/>
      <c r="D5" s="21"/>
      <c r="E5" s="21"/>
      <c r="F5" s="21"/>
      <c r="G5" s="21"/>
      <c r="H5" s="21"/>
      <c r="I5" s="21"/>
      <c r="J5" s="21"/>
      <c r="K5" s="21"/>
      <c r="L5" s="21"/>
      <c r="M5" s="119"/>
    </row>
    <row r="6">
      <c r="A6" s="117" t="s">
        <v>508</v>
      </c>
      <c r="B6" s="117" t="s">
        <v>472</v>
      </c>
      <c r="C6" s="118" t="str">
        <f t="shared" ref="C6:L6" si="1">C2</f>
        <v>LOY1</v>
      </c>
      <c r="D6" s="118" t="str">
        <f t="shared" si="1"/>
        <v>LOY2</v>
      </c>
      <c r="E6" s="118" t="str">
        <f t="shared" si="1"/>
        <v>LOY3</v>
      </c>
      <c r="F6" s="118" t="str">
        <f t="shared" si="1"/>
        <v>LOY4</v>
      </c>
      <c r="G6" s="118" t="str">
        <f t="shared" si="1"/>
        <v>LOY5</v>
      </c>
      <c r="H6" s="118" t="str">
        <f t="shared" si="1"/>
        <v>LOY6</v>
      </c>
      <c r="I6" s="118" t="str">
        <f t="shared" si="1"/>
        <v>LOY7</v>
      </c>
      <c r="J6" s="118" t="str">
        <f t="shared" si="1"/>
        <v>LOY8</v>
      </c>
      <c r="K6" s="118" t="str">
        <f t="shared" si="1"/>
        <v>LOY9</v>
      </c>
      <c r="L6" s="118" t="str">
        <f t="shared" si="1"/>
        <v>LOY10</v>
      </c>
      <c r="M6" s="117" t="s">
        <v>350</v>
      </c>
    </row>
    <row r="7">
      <c r="A7" s="131" t="s">
        <v>509</v>
      </c>
      <c r="B7" s="131" t="s">
        <v>189</v>
      </c>
      <c r="C7" s="148">
        <f>Compute!$F$27</f>
        <v>1188.409091</v>
      </c>
      <c r="D7" s="148">
        <f t="shared" ref="D7:L7" si="2">C7</f>
        <v>1188.409091</v>
      </c>
      <c r="E7" s="148">
        <f t="shared" si="2"/>
        <v>1188.409091</v>
      </c>
      <c r="F7" s="148">
        <f t="shared" si="2"/>
        <v>1188.409091</v>
      </c>
      <c r="G7" s="148">
        <f t="shared" si="2"/>
        <v>1188.409091</v>
      </c>
      <c r="H7" s="148">
        <f t="shared" si="2"/>
        <v>1188.409091</v>
      </c>
      <c r="I7" s="148">
        <f t="shared" si="2"/>
        <v>1188.409091</v>
      </c>
      <c r="J7" s="148">
        <f t="shared" si="2"/>
        <v>1188.409091</v>
      </c>
      <c r="K7" s="148">
        <f t="shared" si="2"/>
        <v>1188.409091</v>
      </c>
      <c r="L7" s="148">
        <f t="shared" si="2"/>
        <v>1188.409091</v>
      </c>
      <c r="M7" s="119" t="s">
        <v>510</v>
      </c>
    </row>
    <row r="8">
      <c r="C8" s="32"/>
      <c r="D8" s="32"/>
      <c r="E8" s="32"/>
      <c r="F8" s="32"/>
      <c r="G8" s="32"/>
      <c r="H8" s="32"/>
      <c r="I8" s="32"/>
      <c r="J8" s="32"/>
      <c r="K8" s="32"/>
      <c r="L8" s="32"/>
      <c r="M8" s="121"/>
    </row>
    <row r="9">
      <c r="A9" s="118" t="s">
        <v>513</v>
      </c>
      <c r="B9" s="117" t="s">
        <v>472</v>
      </c>
      <c r="C9" s="165" t="s">
        <v>539</v>
      </c>
      <c r="D9" s="165" t="s">
        <v>540</v>
      </c>
      <c r="E9" s="165" t="s">
        <v>541</v>
      </c>
      <c r="F9" s="165" t="s">
        <v>542</v>
      </c>
      <c r="G9" s="165" t="s">
        <v>543</v>
      </c>
      <c r="H9" s="165" t="s">
        <v>544</v>
      </c>
      <c r="I9" s="165" t="s">
        <v>545</v>
      </c>
      <c r="J9" s="165" t="s">
        <v>546</v>
      </c>
      <c r="K9" s="165" t="s">
        <v>547</v>
      </c>
      <c r="L9" s="165" t="s">
        <v>548</v>
      </c>
      <c r="M9" s="117" t="s">
        <v>350</v>
      </c>
    </row>
    <row r="10">
      <c r="A10" s="131" t="s">
        <v>514</v>
      </c>
      <c r="B10" s="131" t="s">
        <v>189</v>
      </c>
      <c r="C10" s="142">
        <f t="shared" ref="C10:L10" si="3">C4*0.1/24/365</f>
        <v>516.7201419</v>
      </c>
      <c r="D10" s="142">
        <f t="shared" si="3"/>
        <v>932.8312049</v>
      </c>
      <c r="E10" s="142">
        <f t="shared" si="3"/>
        <v>1399.246807</v>
      </c>
      <c r="F10" s="142">
        <f t="shared" si="3"/>
        <v>1865.66241</v>
      </c>
      <c r="G10" s="142">
        <f t="shared" si="3"/>
        <v>2332.078012</v>
      </c>
      <c r="H10" s="142">
        <f t="shared" si="3"/>
        <v>2798.493615</v>
      </c>
      <c r="I10" s="142">
        <f t="shared" si="3"/>
        <v>3264.909217</v>
      </c>
      <c r="J10" s="142">
        <f t="shared" si="3"/>
        <v>3731.324819</v>
      </c>
      <c r="K10" s="142">
        <f t="shared" si="3"/>
        <v>4197.740422</v>
      </c>
      <c r="L10" s="142">
        <f t="shared" si="3"/>
        <v>4664.156024</v>
      </c>
      <c r="M10" s="121" t="s">
        <v>515</v>
      </c>
    </row>
    <row r="11">
      <c r="A11" s="18" t="s">
        <v>592</v>
      </c>
      <c r="B11" s="18" t="s">
        <v>593</v>
      </c>
      <c r="C11" s="166">
        <f t="shared" ref="C11:D11" si="4">12*3600/1000</f>
        <v>43.2</v>
      </c>
      <c r="D11" s="166">
        <f t="shared" si="4"/>
        <v>43.2</v>
      </c>
      <c r="E11" s="166">
        <f t="shared" ref="E11:H11" si="5">12*3600/1000*2</f>
        <v>86.4</v>
      </c>
      <c r="F11" s="166">
        <f t="shared" si="5"/>
        <v>86.4</v>
      </c>
      <c r="G11" s="166">
        <f t="shared" si="5"/>
        <v>86.4</v>
      </c>
      <c r="H11" s="166">
        <f t="shared" si="5"/>
        <v>86.4</v>
      </c>
      <c r="I11" s="166">
        <f t="shared" ref="I11:L11" si="6">12*3600/1000*4</f>
        <v>172.8</v>
      </c>
      <c r="J11" s="166">
        <f t="shared" si="6"/>
        <v>172.8</v>
      </c>
      <c r="K11" s="166">
        <f t="shared" si="6"/>
        <v>172.8</v>
      </c>
      <c r="L11" s="166">
        <f t="shared" si="6"/>
        <v>172.8</v>
      </c>
      <c r="M11" s="18"/>
    </row>
    <row r="12">
      <c r="A12" s="131" t="s">
        <v>301</v>
      </c>
      <c r="B12" s="131" t="s">
        <v>516</v>
      </c>
      <c r="C12" s="148">
        <f>CEILING('Ops Storage'!C$55/C$11,1)</f>
        <v>95</v>
      </c>
      <c r="D12" s="148">
        <f>CEILING('Ops Storage'!D$43/D$11,1)+CEILING('Ops Storage'!C$43/C$11,1)</f>
        <v>216</v>
      </c>
      <c r="E12" s="148">
        <f>CEILING('Ops Storage'!E$43/E$11,1)+CEILING('Ops Storage'!D$43/D$11,1)+CEILING('Ops Storage'!C$43/C$11,1)</f>
        <v>309</v>
      </c>
      <c r="F12" s="148">
        <f>CEILING('Ops Storage'!F$43/F$11,1)+CEILING('Ops Storage'!E$43/E$11,1)+CEILING('Ops Storage'!D$43/D$11,1)</f>
        <v>348</v>
      </c>
      <c r="G12" s="148">
        <f>CEILING('Ops Storage'!G$43/G$11,1)+CEILING('Ops Storage'!F$43/F$11,1)+CEILING('Ops Storage'!E$43/E$11,1)</f>
        <v>364</v>
      </c>
      <c r="H12" s="148">
        <f>CEILING('Ops Storage'!H$43/H$11,1)+CEILING('Ops Storage'!G$43/G$11,1)+CEILING('Ops Storage'!F$43/F$11,1)</f>
        <v>451</v>
      </c>
      <c r="I12" s="148">
        <f>CEILING('Ops Storage'!I$43/I$11,1)+CEILING('Ops Storage'!H$43/H$11,1)+CEILING('Ops Storage'!G$43/G$11,1)</f>
        <v>436</v>
      </c>
      <c r="J12" s="148">
        <f>CEILING('Ops Storage'!J$43/J$11,1)+CEILING('Ops Storage'!I$43/I$11,1)+CEILING('Ops Storage'!H$43/H$11,1)</f>
        <v>408</v>
      </c>
      <c r="K12" s="148">
        <f>CEILING('Ops Storage'!K$43/K$11,1)+CEILING('Ops Storage'!J$43/J$11,1)+CEILING('Ops Storage'!I$43/I$11,1)</f>
        <v>367</v>
      </c>
      <c r="L12" s="148">
        <f>CEILING('Ops Storage'!L$43/L$11,1)+CEILING('Ops Storage'!K$43/K$11,1)+CEILING('Ops Storage'!J$43/J$11,1)</f>
        <v>418</v>
      </c>
      <c r="M12" s="121" t="s">
        <v>594</v>
      </c>
    </row>
    <row r="13">
      <c r="A13" s="18" t="s">
        <v>517</v>
      </c>
      <c r="B13" s="18" t="s">
        <v>518</v>
      </c>
      <c r="C13" s="167">
        <f>C10/'Ops Storage'!opsScienceUsers</f>
        <v>0.1033440284</v>
      </c>
      <c r="D13" s="167">
        <f>D10/'Ops Storage'!opsScienceUsers</f>
        <v>0.1554718675</v>
      </c>
      <c r="E13" s="167">
        <f>E10/'Ops Storage'!opsScienceUsers</f>
        <v>0.199892401</v>
      </c>
      <c r="F13" s="167">
        <f>F10/'Ops Storage'!opsScienceUsers</f>
        <v>0.248754988</v>
      </c>
      <c r="G13" s="167">
        <f>G10/'Ops Storage'!opsScienceUsers</f>
        <v>0.310943735</v>
      </c>
      <c r="H13" s="167">
        <f>H10/'Ops Storage'!opsScienceUsers</f>
        <v>0.3731324819</v>
      </c>
      <c r="I13" s="167">
        <f>I10/'Ops Storage'!opsScienceUsers</f>
        <v>0.4353212289</v>
      </c>
      <c r="J13" s="167">
        <f>J10/'Ops Storage'!opsScienceUsers</f>
        <v>0.4975099759</v>
      </c>
      <c r="K13" s="167">
        <f>K10/'Ops Storage'!opsScienceUsers</f>
        <v>0.5596987229</v>
      </c>
      <c r="L13" s="167">
        <f>L10/'Ops Storage'!opsScienceUsers</f>
        <v>0.6218874699</v>
      </c>
      <c r="M13" s="121" t="s">
        <v>519</v>
      </c>
    </row>
    <row r="14">
      <c r="C14" s="32"/>
      <c r="D14" s="32"/>
      <c r="E14" s="32"/>
      <c r="F14" s="32"/>
      <c r="G14" s="32"/>
      <c r="H14" s="32"/>
      <c r="I14" s="32"/>
      <c r="J14" s="32"/>
      <c r="K14" s="32"/>
      <c r="L14" s="32"/>
      <c r="M14" s="121"/>
    </row>
    <row r="15">
      <c r="A15" s="118" t="s">
        <v>520</v>
      </c>
      <c r="B15" s="117" t="s">
        <v>472</v>
      </c>
      <c r="C15" s="165" t="s">
        <v>539</v>
      </c>
      <c r="D15" s="165" t="s">
        <v>540</v>
      </c>
      <c r="E15" s="165" t="s">
        <v>541</v>
      </c>
      <c r="F15" s="165" t="s">
        <v>542</v>
      </c>
      <c r="G15" s="165" t="s">
        <v>543</v>
      </c>
      <c r="H15" s="165" t="s">
        <v>544</v>
      </c>
      <c r="I15" s="165" t="s">
        <v>545</v>
      </c>
      <c r="J15" s="165" t="s">
        <v>546</v>
      </c>
      <c r="K15" s="165" t="s">
        <v>547</v>
      </c>
      <c r="L15" s="165" t="s">
        <v>548</v>
      </c>
      <c r="M15" s="117" t="s">
        <v>350</v>
      </c>
    </row>
    <row r="16">
      <c r="A16" s="156" t="s">
        <v>514</v>
      </c>
      <c r="B16" s="156" t="s">
        <v>189</v>
      </c>
      <c r="C16" s="168">
        <f t="shared" ref="C16:L16" si="7">0.2*C10</f>
        <v>103.3440284</v>
      </c>
      <c r="D16" s="168">
        <f t="shared" si="7"/>
        <v>186.566241</v>
      </c>
      <c r="E16" s="168">
        <f t="shared" si="7"/>
        <v>279.8493615</v>
      </c>
      <c r="F16" s="168">
        <f t="shared" si="7"/>
        <v>373.1324819</v>
      </c>
      <c r="G16" s="168">
        <f t="shared" si="7"/>
        <v>466.4156024</v>
      </c>
      <c r="H16" s="168">
        <f t="shared" si="7"/>
        <v>559.6987229</v>
      </c>
      <c r="I16" s="168">
        <f t="shared" si="7"/>
        <v>652.9818434</v>
      </c>
      <c r="J16" s="168">
        <f t="shared" si="7"/>
        <v>746.2649639</v>
      </c>
      <c r="K16" s="168">
        <f t="shared" si="7"/>
        <v>839.5480844</v>
      </c>
      <c r="L16" s="168">
        <f t="shared" si="7"/>
        <v>932.8312049</v>
      </c>
      <c r="M16" s="121" t="s">
        <v>521</v>
      </c>
    </row>
    <row r="17">
      <c r="A17" s="156" t="s">
        <v>301</v>
      </c>
      <c r="B17" s="156" t="s">
        <v>516</v>
      </c>
      <c r="C17" s="148">
        <f t="shared" ref="C17:L17" si="8">C12</f>
        <v>95</v>
      </c>
      <c r="D17" s="148">
        <f t="shared" si="8"/>
        <v>216</v>
      </c>
      <c r="E17" s="148">
        <f t="shared" si="8"/>
        <v>309</v>
      </c>
      <c r="F17" s="148">
        <f t="shared" si="8"/>
        <v>348</v>
      </c>
      <c r="G17" s="148">
        <f t="shared" si="8"/>
        <v>364</v>
      </c>
      <c r="H17" s="148">
        <f t="shared" si="8"/>
        <v>451</v>
      </c>
      <c r="I17" s="148">
        <f t="shared" si="8"/>
        <v>436</v>
      </c>
      <c r="J17" s="148">
        <f t="shared" si="8"/>
        <v>408</v>
      </c>
      <c r="K17" s="148">
        <f t="shared" si="8"/>
        <v>367</v>
      </c>
      <c r="L17" s="148">
        <f t="shared" si="8"/>
        <v>418</v>
      </c>
      <c r="M17" s="121" t="s">
        <v>595</v>
      </c>
    </row>
    <row r="18">
      <c r="C18" s="32"/>
      <c r="D18" s="32"/>
      <c r="E18" s="32"/>
      <c r="F18" s="32"/>
      <c r="G18" s="32"/>
      <c r="H18" s="32"/>
      <c r="I18" s="32"/>
      <c r="J18" s="32"/>
      <c r="K18" s="32"/>
      <c r="L18" s="32"/>
      <c r="M18" s="121"/>
    </row>
    <row r="19">
      <c r="A19" s="118" t="s">
        <v>522</v>
      </c>
      <c r="B19" s="117" t="s">
        <v>472</v>
      </c>
      <c r="C19" s="165" t="s">
        <v>539</v>
      </c>
      <c r="D19" s="165" t="s">
        <v>540</v>
      </c>
      <c r="E19" s="165" t="s">
        <v>541</v>
      </c>
      <c r="F19" s="165" t="s">
        <v>542</v>
      </c>
      <c r="G19" s="165" t="s">
        <v>543</v>
      </c>
      <c r="H19" s="165" t="s">
        <v>544</v>
      </c>
      <c r="I19" s="165" t="s">
        <v>545</v>
      </c>
      <c r="J19" s="165" t="s">
        <v>546</v>
      </c>
      <c r="K19" s="165" t="s">
        <v>547</v>
      </c>
      <c r="L19" s="165" t="s">
        <v>548</v>
      </c>
      <c r="M19" s="117" t="s">
        <v>350</v>
      </c>
    </row>
    <row r="20">
      <c r="A20" s="156" t="s">
        <v>514</v>
      </c>
      <c r="B20" s="156" t="s">
        <v>189</v>
      </c>
      <c r="C20" s="168">
        <f t="shared" ref="C20:L20" si="9">0.1*C10</f>
        <v>51.67201419</v>
      </c>
      <c r="D20" s="168">
        <f t="shared" si="9"/>
        <v>93.28312049</v>
      </c>
      <c r="E20" s="168">
        <f t="shared" si="9"/>
        <v>139.9246807</v>
      </c>
      <c r="F20" s="168">
        <f t="shared" si="9"/>
        <v>186.566241</v>
      </c>
      <c r="G20" s="168">
        <f t="shared" si="9"/>
        <v>233.2078012</v>
      </c>
      <c r="H20" s="168">
        <f t="shared" si="9"/>
        <v>279.8493615</v>
      </c>
      <c r="I20" s="168">
        <f t="shared" si="9"/>
        <v>326.4909217</v>
      </c>
      <c r="J20" s="168">
        <f t="shared" si="9"/>
        <v>373.1324819</v>
      </c>
      <c r="K20" s="168">
        <f t="shared" si="9"/>
        <v>419.7740422</v>
      </c>
      <c r="L20" s="168">
        <f t="shared" si="9"/>
        <v>466.4156024</v>
      </c>
      <c r="M20" s="121" t="s">
        <v>523</v>
      </c>
    </row>
  </sheetData>
  <printOptions gridLines="1" horizontalCentered="1"/>
  <pageMargins bottom="0.75" footer="0.0" header="0.0" left="0.25" right="0.25"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2" t="s">
        <v>596</v>
      </c>
      <c r="B2" s="57">
        <f>'Ops Costs'!B50</f>
        <v>4.197583296</v>
      </c>
      <c r="C2" s="57">
        <f>'Ops Costs'!C50</f>
        <v>4.986688547</v>
      </c>
      <c r="D2" s="57">
        <f>'Ops Costs'!D50</f>
        <v>4.9873463</v>
      </c>
      <c r="E2" s="57">
        <f>'Ops Costs'!E50</f>
        <v>5.133415947</v>
      </c>
      <c r="F2" s="57">
        <f>'Ops Costs'!F50</f>
        <v>5.505048993</v>
      </c>
      <c r="G2" s="57">
        <f>'Ops Costs'!G50</f>
        <v>7.209277844</v>
      </c>
      <c r="H2" s="57">
        <f>'Ops Costs'!H50</f>
        <v>6.286252545</v>
      </c>
      <c r="I2" s="57">
        <f>'Ops Costs'!I50</f>
        <v>6.371834716</v>
      </c>
      <c r="J2" s="57">
        <f>'Ops Costs'!J50</f>
        <v>6.37954168</v>
      </c>
      <c r="K2" s="57">
        <f>'Ops Costs'!K50</f>
        <v>6.24890933</v>
      </c>
    </row>
    <row r="3">
      <c r="A3" s="2" t="s">
        <v>597</v>
      </c>
      <c r="B3" s="32">
        <f t="shared" ref="B3:K3" si="1">B2*1000000</f>
        <v>4197583.296</v>
      </c>
      <c r="C3" s="32">
        <f t="shared" si="1"/>
        <v>4986688.547</v>
      </c>
      <c r="D3" s="32">
        <f t="shared" si="1"/>
        <v>4987346.3</v>
      </c>
      <c r="E3" s="32">
        <f t="shared" si="1"/>
        <v>5133415.947</v>
      </c>
      <c r="F3" s="32">
        <f t="shared" si="1"/>
        <v>5505048.993</v>
      </c>
      <c r="G3" s="32">
        <f t="shared" si="1"/>
        <v>7209277.844</v>
      </c>
      <c r="H3" s="32">
        <f t="shared" si="1"/>
        <v>6286252.545</v>
      </c>
      <c r="I3" s="32">
        <f t="shared" si="1"/>
        <v>6371834.716</v>
      </c>
      <c r="J3" s="32">
        <f t="shared" si="1"/>
        <v>6379541.68</v>
      </c>
      <c r="K3" s="32">
        <f t="shared" si="1"/>
        <v>6248909.33</v>
      </c>
      <c r="L3" s="26">
        <f>K3/2</f>
        <v>3124454.665</v>
      </c>
    </row>
    <row r="4">
      <c r="A4" s="2"/>
    </row>
    <row r="5">
      <c r="A5" s="2" t="s">
        <v>598</v>
      </c>
      <c r="B5" s="42">
        <f>PreOps!B12</f>
        <v>0.4300476225</v>
      </c>
      <c r="C5" s="42">
        <f>PreOps!C12</f>
        <v>0.2245635855</v>
      </c>
      <c r="D5" s="42">
        <f>PreOps!D12</f>
        <v>1.13297708</v>
      </c>
    </row>
    <row r="6">
      <c r="A6" s="2" t="s">
        <v>599</v>
      </c>
      <c r="B6" s="32">
        <f t="shared" ref="B6:D6" si="2">B5*1000000</f>
        <v>430047.6225</v>
      </c>
      <c r="C6" s="32">
        <f t="shared" si="2"/>
        <v>224563.5855</v>
      </c>
      <c r="D6" s="32">
        <f t="shared" si="2"/>
        <v>1132977.08</v>
      </c>
    </row>
    <row r="8">
      <c r="A8" s="2" t="s">
        <v>600</v>
      </c>
      <c r="B8" s="57">
        <f>'Ops Costs'!B31</f>
        <v>0.9648554373</v>
      </c>
      <c r="C8" s="57">
        <f>'Ops Costs'!C31</f>
        <v>0.8657812074</v>
      </c>
      <c r="D8" s="57">
        <f>'Ops Costs'!D31</f>
        <v>0.8365578831</v>
      </c>
      <c r="E8" s="57">
        <f>'Ops Costs'!E31</f>
        <v>0.7005805464</v>
      </c>
      <c r="F8" s="57">
        <f>'Ops Costs'!F31</f>
        <v>0.7463418118</v>
      </c>
      <c r="G8" s="57">
        <f>'Ops Costs'!G31</f>
        <v>1.414427977</v>
      </c>
      <c r="H8" s="57">
        <f>'Ops Costs'!H31</f>
        <v>1.146136853</v>
      </c>
      <c r="I8" s="57">
        <f>'Ops Costs'!I31</f>
        <v>1.132588341</v>
      </c>
      <c r="J8" s="57">
        <f>'Ops Costs'!J31</f>
        <v>1.004084487</v>
      </c>
      <c r="K8" s="57">
        <f>'Ops Costs'!K31</f>
        <v>1.053257198</v>
      </c>
      <c r="L8" s="57">
        <f>'Ops Costs'!L31</f>
        <v>0.6873722495</v>
      </c>
      <c r="M8" s="57">
        <f>'Ops Costs'!M31</f>
        <v>0.1098771789</v>
      </c>
    </row>
    <row r="9">
      <c r="B9" s="32">
        <f t="shared" ref="B9:M9" si="3">B8*1000000</f>
        <v>964855.4373</v>
      </c>
      <c r="C9" s="32">
        <f t="shared" si="3"/>
        <v>865781.2074</v>
      </c>
      <c r="D9" s="32">
        <f t="shared" si="3"/>
        <v>836557.8831</v>
      </c>
      <c r="E9" s="32">
        <f t="shared" si="3"/>
        <v>700580.5464</v>
      </c>
      <c r="F9" s="32">
        <f t="shared" si="3"/>
        <v>746341.8118</v>
      </c>
      <c r="G9" s="32">
        <f t="shared" si="3"/>
        <v>1414427.977</v>
      </c>
      <c r="H9" s="32">
        <f t="shared" si="3"/>
        <v>1146136.853</v>
      </c>
      <c r="I9" s="32">
        <f t="shared" si="3"/>
        <v>1132588.341</v>
      </c>
      <c r="J9" s="32">
        <f t="shared" si="3"/>
        <v>1004084.487</v>
      </c>
      <c r="K9" s="32">
        <f t="shared" si="3"/>
        <v>1053257.198</v>
      </c>
      <c r="L9" s="32">
        <f t="shared" si="3"/>
        <v>687372.2495</v>
      </c>
      <c r="M9" s="32">
        <f t="shared" si="3"/>
        <v>109877.1789</v>
      </c>
    </row>
    <row r="11">
      <c r="A11" s="2" t="s">
        <v>601</v>
      </c>
      <c r="B11" s="49">
        <f>Cloud!B7</f>
        <v>110000</v>
      </c>
      <c r="C11" s="49">
        <f>Cloud!C7</f>
        <v>110000</v>
      </c>
      <c r="D11" s="49">
        <f>Cloud!D7</f>
        <v>110000</v>
      </c>
      <c r="E11" s="49">
        <f>Cloud!E7</f>
        <v>110000</v>
      </c>
      <c r="F11" s="49">
        <f>Cloud!F7</f>
        <v>110000</v>
      </c>
      <c r="G11" s="49">
        <f>Cloud!G7</f>
        <v>110000</v>
      </c>
      <c r="H11" s="49">
        <f>Cloud!H7</f>
        <v>110000</v>
      </c>
      <c r="I11" s="49">
        <f>Cloud!I7</f>
        <v>110000</v>
      </c>
      <c r="J11" s="49">
        <f>Cloud!J7</f>
        <v>110000</v>
      </c>
      <c r="K11" s="49">
        <f>Cloud!K7</f>
        <v>110000</v>
      </c>
      <c r="L11" s="49">
        <f>Cloud!L7</f>
        <v>100000</v>
      </c>
    </row>
    <row r="16">
      <c r="B16" s="2" t="s">
        <v>41</v>
      </c>
      <c r="C16" s="2" t="s">
        <v>516</v>
      </c>
      <c r="D16" s="2" t="s">
        <v>602</v>
      </c>
    </row>
    <row r="17">
      <c r="A17" s="2" t="s">
        <v>603</v>
      </c>
      <c r="B17" s="28">
        <f>Compute!F27</f>
        <v>1188.409091</v>
      </c>
      <c r="C17" s="26">
        <f>B17/32</f>
        <v>37.13778409</v>
      </c>
      <c r="D17" s="26">
        <f>C17/Model!B117</f>
        <v>1.031605114</v>
      </c>
    </row>
    <row r="22">
      <c r="A22" s="2" t="s">
        <v>604</v>
      </c>
      <c r="B22" s="26">
        <v>1066508.4335527956</v>
      </c>
      <c r="C22" s="26">
        <v>1169047.8884526293</v>
      </c>
      <c r="D22" s="26">
        <v>1170857.2258714521</v>
      </c>
      <c r="E22" s="26">
        <v>962865.1037965264</v>
      </c>
      <c r="F22" s="26">
        <v>884465.4687709943</v>
      </c>
      <c r="G22" s="26">
        <v>1515684.3627180734</v>
      </c>
      <c r="H22" s="26">
        <v>1426940.7332290602</v>
      </c>
      <c r="I22" s="26">
        <v>1410545.0849303957</v>
      </c>
      <c r="J22" s="26">
        <v>1224879.2529560414</v>
      </c>
      <c r="K22" s="26">
        <v>1133377.1148055664</v>
      </c>
      <c r="L22" s="26">
        <v>580235.5208522556</v>
      </c>
      <c r="M22" s="26">
        <v>276570.7969766554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8.5"/>
    <col customWidth="1" min="3" max="3" width="9.5"/>
    <col customWidth="1" min="4" max="11" width="8.5"/>
  </cols>
  <sheetData>
    <row r="1">
      <c r="A1" s="2" t="s">
        <v>605</v>
      </c>
      <c r="B1" s="2" t="s">
        <v>606</v>
      </c>
      <c r="C1" s="2">
        <v>12.0</v>
      </c>
      <c r="D1" s="2">
        <v>0.0</v>
      </c>
    </row>
    <row r="2">
      <c r="A2" s="26" t="str">
        <f>'Ops Costs'!A55</f>
        <v>Year</v>
      </c>
      <c r="B2" s="169">
        <f>'Ops Costs'!B55</f>
        <v>2024</v>
      </c>
      <c r="C2" s="169">
        <f>'Ops Costs'!C55</f>
        <v>2025</v>
      </c>
      <c r="D2" s="169">
        <f>'Ops Costs'!D55</f>
        <v>2026</v>
      </c>
      <c r="E2" s="169">
        <f>'Ops Costs'!E55</f>
        <v>2027</v>
      </c>
      <c r="F2" s="169">
        <f>'Ops Costs'!F55</f>
        <v>2028</v>
      </c>
      <c r="G2" s="169">
        <f>'Ops Costs'!G55</f>
        <v>2029</v>
      </c>
      <c r="H2" s="169">
        <f>'Ops Costs'!H55</f>
        <v>2030</v>
      </c>
      <c r="I2" s="169">
        <f>'Ops Costs'!I55</f>
        <v>2031</v>
      </c>
      <c r="J2" s="169">
        <f>'Ops Costs'!J55</f>
        <v>2032</v>
      </c>
      <c r="K2" s="169">
        <f>'Ops Costs'!K55</f>
        <v>2033</v>
      </c>
      <c r="L2" s="26" t="str">
        <f>'Ops Costs'!L55</f>
        <v/>
      </c>
      <c r="M2" s="26" t="str">
        <f>'Ops Costs'!M55</f>
        <v/>
      </c>
    </row>
    <row r="3">
      <c r="A3" s="26" t="str">
        <f>'Ops Costs'!A92</f>
        <v>Chilean DAC Fast Storage (TB)</v>
      </c>
      <c r="B3" s="26">
        <f>'Ops Storage'!C70</f>
        <v>267</v>
      </c>
      <c r="C3" s="26">
        <f>'Ops Storage'!D70</f>
        <v>435</v>
      </c>
      <c r="D3" s="26">
        <f>'Ops Storage'!E70</f>
        <v>622</v>
      </c>
      <c r="E3" s="26">
        <f>'Ops Storage'!F70</f>
        <v>795</v>
      </c>
      <c r="F3" s="26">
        <f>'Ops Storage'!G70</f>
        <v>937</v>
      </c>
      <c r="G3" s="26">
        <f>'Ops Storage'!H70</f>
        <v>1080</v>
      </c>
      <c r="H3" s="26">
        <f>'Ops Storage'!I70</f>
        <v>1222</v>
      </c>
      <c r="I3" s="26">
        <f>'Ops Storage'!J70</f>
        <v>1364</v>
      </c>
      <c r="J3" s="26">
        <f>'Ops Storage'!K70</f>
        <v>1507</v>
      </c>
      <c r="K3" s="26">
        <f>'Ops Storage'!L70</f>
        <v>1649</v>
      </c>
      <c r="L3" s="2" t="s">
        <v>154</v>
      </c>
    </row>
    <row r="4">
      <c r="A4" s="26" t="str">
        <f>'Ops Costs'!A96</f>
        <v>Chilean DAC Latent Storage (TB)</v>
      </c>
      <c r="B4" s="26">
        <f>'Ops Storage'!C72</f>
        <v>10500</v>
      </c>
      <c r="C4" s="26">
        <f>'Ops Storage'!D72</f>
        <v>18391</v>
      </c>
      <c r="D4" s="26">
        <f>'Ops Storage'!E72</f>
        <v>25950</v>
      </c>
      <c r="E4" s="26">
        <f>'Ops Storage'!F72</f>
        <v>31007</v>
      </c>
      <c r="F4" s="26">
        <f>'Ops Storage'!G72</f>
        <v>36063</v>
      </c>
      <c r="G4" s="26">
        <f>'Ops Storage'!H72</f>
        <v>41120</v>
      </c>
      <c r="H4" s="26">
        <f>'Ops Storage'!I72</f>
        <v>46177</v>
      </c>
      <c r="I4" s="26">
        <f>'Ops Storage'!J72</f>
        <v>51234</v>
      </c>
      <c r="J4" s="26">
        <f>'Ops Storage'!K72</f>
        <v>56291</v>
      </c>
      <c r="K4" s="26">
        <f>'Ops Storage'!L72</f>
        <v>61348</v>
      </c>
    </row>
    <row r="5">
      <c r="A5" s="26" t="str">
        <f>'Ops Costs'!A69</f>
        <v>Cores (Chilean DAC)</v>
      </c>
      <c r="B5" s="32">
        <f>'Ops Compute'!C16</f>
        <v>103.3440284</v>
      </c>
      <c r="C5" s="32">
        <f>'Ops Compute'!D16</f>
        <v>186.566241</v>
      </c>
      <c r="D5" s="32">
        <f>'Ops Compute'!E16</f>
        <v>279.8493615</v>
      </c>
      <c r="E5" s="32">
        <f>'Ops Compute'!F16</f>
        <v>373.1324819</v>
      </c>
      <c r="F5" s="32">
        <f>'Ops Compute'!G16</f>
        <v>466.4156024</v>
      </c>
      <c r="G5" s="32">
        <f>'Ops Compute'!H16</f>
        <v>559.6987229</v>
      </c>
      <c r="H5" s="32">
        <f>'Ops Compute'!I16</f>
        <v>652.9818434</v>
      </c>
      <c r="I5" s="32">
        <f>'Ops Compute'!J16</f>
        <v>746.2649639</v>
      </c>
      <c r="J5" s="32">
        <f>'Ops Compute'!K16</f>
        <v>839.5480844</v>
      </c>
      <c r="K5" s="32">
        <f>'Ops Compute'!L16</f>
        <v>932.8312049</v>
      </c>
    </row>
    <row r="8">
      <c r="A8" s="2" t="s">
        <v>607</v>
      </c>
      <c r="B8" s="2" t="s">
        <v>608</v>
      </c>
      <c r="C8" s="2">
        <v>12.0</v>
      </c>
      <c r="D8" s="2">
        <v>0.0</v>
      </c>
    </row>
    <row r="9">
      <c r="A9" s="26" t="str">
        <f t="shared" ref="A9:K9" si="1">A2</f>
        <v>Year</v>
      </c>
      <c r="B9" s="169">
        <f t="shared" si="1"/>
        <v>2024</v>
      </c>
      <c r="C9" s="169">
        <f t="shared" si="1"/>
        <v>2025</v>
      </c>
      <c r="D9" s="169">
        <f t="shared" si="1"/>
        <v>2026</v>
      </c>
      <c r="E9" s="169">
        <f t="shared" si="1"/>
        <v>2027</v>
      </c>
      <c r="F9" s="169">
        <f t="shared" si="1"/>
        <v>2028</v>
      </c>
      <c r="G9" s="169">
        <f t="shared" si="1"/>
        <v>2029</v>
      </c>
      <c r="H9" s="169">
        <f t="shared" si="1"/>
        <v>2030</v>
      </c>
      <c r="I9" s="169">
        <f t="shared" si="1"/>
        <v>2031</v>
      </c>
      <c r="J9" s="169">
        <f t="shared" si="1"/>
        <v>2032</v>
      </c>
      <c r="K9" s="169">
        <f t="shared" si="1"/>
        <v>2033</v>
      </c>
    </row>
    <row r="10">
      <c r="A10" s="26" t="str">
        <f>'Ops Storage'!A57</f>
        <v>LSSTCam Raw Images</v>
      </c>
      <c r="B10" s="30">
        <f>'Ops Storage'!C57</f>
        <v>6981.965128</v>
      </c>
      <c r="C10" s="30">
        <f>'Ops Storage'!D57</f>
        <v>11797.99217</v>
      </c>
      <c r="D10" s="30">
        <f>'Ops Storage'!E57</f>
        <v>16614.01921</v>
      </c>
      <c r="E10" s="30">
        <f>'Ops Storage'!F57</f>
        <v>21430.04625</v>
      </c>
      <c r="F10" s="30">
        <f>'Ops Storage'!G57</f>
        <v>26246.07329</v>
      </c>
      <c r="G10" s="30">
        <f>'Ops Storage'!H57</f>
        <v>31062.10033</v>
      </c>
      <c r="H10" s="30">
        <f>'Ops Storage'!I57</f>
        <v>35878.12737</v>
      </c>
      <c r="I10" s="30">
        <f>'Ops Storage'!J57</f>
        <v>40694.15442</v>
      </c>
      <c r="J10" s="30">
        <f>'Ops Storage'!K57</f>
        <v>45510.18146</v>
      </c>
      <c r="K10" s="30">
        <f>'Ops Storage'!L57</f>
        <v>50326.2085</v>
      </c>
    </row>
    <row r="11">
      <c r="A11" s="26" t="str">
        <f>'Ops Storage'!A58</f>
        <v>LSSTCam Output Images</v>
      </c>
      <c r="B11" s="30">
        <f>'Ops Storage'!C58</f>
        <v>1966.594274</v>
      </c>
      <c r="C11" s="30">
        <f>'Ops Storage'!D58</f>
        <v>5337.898745</v>
      </c>
      <c r="D11" s="30">
        <f>'Ops Storage'!E58</f>
        <v>8428.261176</v>
      </c>
      <c r="E11" s="30">
        <f>'Ops Storage'!F58</f>
        <v>11799.56565</v>
      </c>
      <c r="F11" s="30">
        <f>'Ops Storage'!G58</f>
        <v>15170.87012</v>
      </c>
      <c r="G11" s="30">
        <f>'Ops Storage'!H58</f>
        <v>18542.17459</v>
      </c>
      <c r="H11" s="30">
        <f>'Ops Storage'!I58</f>
        <v>21913.47906</v>
      </c>
      <c r="I11" s="30">
        <f>'Ops Storage'!J58</f>
        <v>25284.78353</v>
      </c>
      <c r="J11" s="30">
        <f>'Ops Storage'!K58</f>
        <v>28656.088</v>
      </c>
      <c r="K11" s="30">
        <f>'Ops Storage'!L58</f>
        <v>32027.39247</v>
      </c>
    </row>
    <row r="12">
      <c r="A12" s="26" t="str">
        <f>'Ops Storage'!A59</f>
        <v>LSSTCam Output Coadd Images</v>
      </c>
      <c r="B12" s="30">
        <f>'Ops Storage'!C59</f>
        <v>3017.647059</v>
      </c>
      <c r="C12" s="30">
        <f>'Ops Storage'!D59</f>
        <v>5717.647059</v>
      </c>
      <c r="D12" s="30">
        <f>'Ops Storage'!E59</f>
        <v>8100</v>
      </c>
      <c r="E12" s="30">
        <f>'Ops Storage'!F59</f>
        <v>8100</v>
      </c>
      <c r="F12" s="30">
        <f>'Ops Storage'!G59</f>
        <v>8100</v>
      </c>
      <c r="G12" s="30">
        <f>'Ops Storage'!H59</f>
        <v>8100</v>
      </c>
      <c r="H12" s="30">
        <f>'Ops Storage'!I59</f>
        <v>8100</v>
      </c>
      <c r="I12" s="30">
        <f>'Ops Storage'!J59</f>
        <v>8100</v>
      </c>
      <c r="J12" s="30">
        <f>'Ops Storage'!K59</f>
        <v>8100</v>
      </c>
      <c r="K12" s="30">
        <f>'Ops Storage'!L59</f>
        <v>8100</v>
      </c>
    </row>
    <row r="13">
      <c r="A13" s="26" t="str">
        <f>'Ops Storage'!A60</f>
        <v>LSSTCam Output Parquet</v>
      </c>
      <c r="B13" s="30">
        <f>'Ops Storage'!C60</f>
        <v>4650.995459</v>
      </c>
      <c r="C13" s="30">
        <f>'Ops Storage'!D60</f>
        <v>12624.13053</v>
      </c>
      <c r="D13" s="30">
        <f>'Ops Storage'!E60</f>
        <v>23919.40522</v>
      </c>
      <c r="E13" s="30">
        <f>'Ops Storage'!F60</f>
        <v>35879.10783</v>
      </c>
      <c r="F13" s="30">
        <f>'Ops Storage'!G60</f>
        <v>47838.81043</v>
      </c>
      <c r="G13" s="30">
        <f>'Ops Storage'!H60</f>
        <v>59798.51304</v>
      </c>
      <c r="H13" s="30">
        <f>'Ops Storage'!I60</f>
        <v>71758.21565</v>
      </c>
      <c r="I13" s="30">
        <f>'Ops Storage'!J60</f>
        <v>83717.91826</v>
      </c>
      <c r="J13" s="30">
        <f>'Ops Storage'!K60</f>
        <v>95677.62087</v>
      </c>
      <c r="K13" s="30">
        <f>'Ops Storage'!L60</f>
        <v>107637.3235</v>
      </c>
    </row>
    <row r="16">
      <c r="A16" s="2" t="s">
        <v>609</v>
      </c>
      <c r="B16" s="30">
        <f t="shared" ref="B16:K16" si="2">B4-(B10+B12)</f>
        <v>500.387813</v>
      </c>
      <c r="C16" s="30">
        <f t="shared" si="2"/>
        <v>875.360772</v>
      </c>
      <c r="D16" s="30">
        <f t="shared" si="2"/>
        <v>1235.98079</v>
      </c>
      <c r="E16" s="30">
        <f t="shared" si="2"/>
        <v>1476.953749</v>
      </c>
      <c r="F16" s="30">
        <f t="shared" si="2"/>
        <v>1716.926708</v>
      </c>
      <c r="G16" s="30">
        <f t="shared" si="2"/>
        <v>1957.899667</v>
      </c>
      <c r="H16" s="30">
        <f t="shared" si="2"/>
        <v>2198.872626</v>
      </c>
      <c r="I16" s="30">
        <f t="shared" si="2"/>
        <v>2439.845585</v>
      </c>
      <c r="J16" s="30">
        <f t="shared" si="2"/>
        <v>2680.818544</v>
      </c>
      <c r="K16" s="30">
        <f t="shared" si="2"/>
        <v>2921.791503</v>
      </c>
    </row>
    <row r="19">
      <c r="A19" s="2" t="s">
        <v>610</v>
      </c>
      <c r="B19" s="2" t="s">
        <v>611</v>
      </c>
      <c r="C19" s="2">
        <v>4.0</v>
      </c>
      <c r="D19" s="2">
        <v>0.0</v>
      </c>
    </row>
    <row r="20">
      <c r="A20" s="2"/>
      <c r="B20" s="2" t="s">
        <v>612</v>
      </c>
      <c r="C20" s="2" t="s">
        <v>44</v>
      </c>
      <c r="D20" s="2" t="s">
        <v>613</v>
      </c>
    </row>
    <row r="21">
      <c r="A21" s="2" t="s">
        <v>614</v>
      </c>
      <c r="B21" s="2">
        <v>1.0</v>
      </c>
      <c r="C21" s="170">
        <v>0.08</v>
      </c>
      <c r="D21" s="171" t="s">
        <v>615</v>
      </c>
    </row>
    <row r="22">
      <c r="A22" s="2" t="s">
        <v>616</v>
      </c>
      <c r="B22" s="2">
        <v>1000.0</v>
      </c>
      <c r="C22" s="73">
        <f>C21*1000</f>
        <v>80</v>
      </c>
    </row>
    <row r="23">
      <c r="A23" s="2" t="s">
        <v>617</v>
      </c>
      <c r="B23" s="2">
        <v>25.0</v>
      </c>
      <c r="C23" s="73">
        <f t="shared" ref="C23:C24" si="3">C22*B23</f>
        <v>2000</v>
      </c>
    </row>
    <row r="24">
      <c r="A24" s="2" t="s">
        <v>618</v>
      </c>
      <c r="B24" s="33">
        <v>30.0</v>
      </c>
      <c r="C24" s="73">
        <f t="shared" si="3"/>
        <v>60000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172" t="s">
        <v>619</v>
      </c>
      <c r="G1" s="173" t="s">
        <v>620</v>
      </c>
      <c r="K1" s="174" t="s">
        <v>621</v>
      </c>
    </row>
    <row r="2">
      <c r="A2" s="2" t="s">
        <v>3</v>
      </c>
      <c r="B2" s="172" t="s">
        <v>462</v>
      </c>
      <c r="C2" s="172" t="s">
        <v>464</v>
      </c>
      <c r="D2" s="172" t="s">
        <v>622</v>
      </c>
      <c r="E2" s="172" t="s">
        <v>468</v>
      </c>
      <c r="F2" s="172" t="s">
        <v>469</v>
      </c>
      <c r="G2" s="173" t="s">
        <v>462</v>
      </c>
      <c r="H2" s="173" t="s">
        <v>622</v>
      </c>
      <c r="I2" s="173" t="s">
        <v>468</v>
      </c>
      <c r="J2" s="2" t="s">
        <v>623</v>
      </c>
      <c r="K2" s="174" t="s">
        <v>624</v>
      </c>
      <c r="L2" s="174" t="s">
        <v>625</v>
      </c>
      <c r="M2" s="174" t="s">
        <v>626</v>
      </c>
      <c r="N2" s="174" t="s">
        <v>627</v>
      </c>
      <c r="O2" s="174" t="s">
        <v>628</v>
      </c>
      <c r="P2" s="174" t="s">
        <v>629</v>
      </c>
      <c r="Q2" s="174" t="s">
        <v>436</v>
      </c>
      <c r="R2" s="174" t="s">
        <v>630</v>
      </c>
    </row>
    <row r="3">
      <c r="A3" s="2" t="s">
        <v>499</v>
      </c>
      <c r="B3" s="175">
        <f t="array" ref="B3:B5">TRANSPOSE(Storage!C64:E64)</f>
        <v>11.84210526</v>
      </c>
      <c r="C3" s="175">
        <f t="array" ref="C3:C5">TRANSPOSE(Storage!C66:E66)</f>
        <v>3466.81753</v>
      </c>
      <c r="D3" s="175">
        <f t="array" ref="D3:D5">TRANSPOSE(Storage!C68:E68)</f>
        <v>1087.769121</v>
      </c>
      <c r="E3" s="175">
        <f t="array" ref="E3:E5">TRANSPOSE(Storage!C74:E74)</f>
        <v>318.5203069</v>
      </c>
      <c r="F3" s="175">
        <f t="array" ref="F3:F5">TRANSPOSE(Storage!C79:E79)</f>
        <v>2697.568715</v>
      </c>
      <c r="G3" s="173">
        <v>0.0</v>
      </c>
      <c r="H3" s="173">
        <v>0.0</v>
      </c>
      <c r="I3" s="173">
        <v>0.0</v>
      </c>
      <c r="J3" s="86">
        <f t="array" ref="J3:J5">TRANSPOSE(Compute!C24:E24)</f>
        <v>4406677.658</v>
      </c>
      <c r="K3" s="176"/>
      <c r="L3" s="176"/>
      <c r="M3" s="176"/>
      <c r="N3" s="176"/>
      <c r="O3" s="176"/>
      <c r="P3" s="176"/>
      <c r="Q3" s="176"/>
      <c r="R3" s="176"/>
    </row>
    <row r="4">
      <c r="A4" s="2" t="s">
        <v>500</v>
      </c>
      <c r="B4" s="175">
        <v>23.684210526315788</v>
      </c>
      <c r="C4" s="175">
        <v>3534.963996845571</v>
      </c>
      <c r="D4" s="175">
        <v>1087.7691213592234</v>
      </c>
      <c r="E4" s="175">
        <v>875.9308440960001</v>
      </c>
      <c r="F4" s="175">
        <v>5702.174127974463</v>
      </c>
      <c r="G4" s="173">
        <v>0.0</v>
      </c>
      <c r="H4" s="173">
        <v>0.0</v>
      </c>
      <c r="I4" s="173">
        <v>0.0</v>
      </c>
      <c r="J4" s="86">
        <v>4406677.65778583</v>
      </c>
      <c r="K4" s="176"/>
      <c r="L4" s="176"/>
      <c r="M4" s="176"/>
      <c r="N4" s="176"/>
      <c r="O4" s="176"/>
      <c r="P4" s="176"/>
      <c r="Q4" s="176"/>
      <c r="R4" s="176"/>
    </row>
    <row r="5">
      <c r="A5" s="2" t="s">
        <v>501</v>
      </c>
      <c r="B5" s="175">
        <v>49.75421052631579</v>
      </c>
      <c r="C5" s="175">
        <v>6629.573978322601</v>
      </c>
      <c r="D5" s="175">
        <v>584.92725</v>
      </c>
      <c r="E5" s="175">
        <v>3428.9551079190405</v>
      </c>
      <c r="F5" s="175">
        <v>13216.028342567559</v>
      </c>
      <c r="G5" s="173">
        <v>0.0</v>
      </c>
      <c r="H5" s="173">
        <v>0.0</v>
      </c>
      <c r="I5" s="173">
        <v>0.0</v>
      </c>
      <c r="J5" s="86">
        <v>1.1216345453340285E7</v>
      </c>
      <c r="K5" s="176"/>
      <c r="L5" s="176"/>
      <c r="M5" s="176"/>
      <c r="N5" s="176"/>
      <c r="O5" s="176"/>
      <c r="P5" s="176"/>
      <c r="Q5" s="176"/>
      <c r="R5" s="176"/>
    </row>
    <row r="6">
      <c r="A6" s="2" t="s">
        <v>631</v>
      </c>
      <c r="B6" s="175">
        <f t="array" ref="B6:B15">TRANSPOSE('Ops Storage'!C51:L51)</f>
        <v>206.1742105</v>
      </c>
      <c r="C6" s="175">
        <f t="array" ref="C6:C15">TRANSPOSE('Ops Storage'!C53:L53)</f>
        <v>24080.6694</v>
      </c>
      <c r="D6" s="175">
        <f t="array" ref="D6:D15">TRANSPOSE('Ops Storage'!C55:L55)</f>
        <v>4094.49075</v>
      </c>
      <c r="E6" s="175">
        <f t="array" ref="E6:E15">TRANSPOSE('Ops Storage'!C61:L61)</f>
        <v>16617.20192</v>
      </c>
      <c r="F6" s="175">
        <f t="array" ref="F6:F15">TRANSPOSE('Ops Storage'!C66:L66)</f>
        <v>40472.48039</v>
      </c>
      <c r="G6" s="177">
        <f t="array" ref="G6:G15">TRANSPOSE('Ops Storage'!C70:L70)</f>
        <v>267</v>
      </c>
      <c r="H6" s="178">
        <f t="array" ref="H6:H15">TRANSPOSE('Ops Storage'!C71:L71)</f>
        <v>4094.49075</v>
      </c>
      <c r="I6" s="177">
        <f t="array" ref="I6:I15">TRANSPOSE('Ops Storage'!C72:L72)</f>
        <v>10500</v>
      </c>
      <c r="J6" s="86">
        <f t="array" ref="J6:J15">TRANSPOSE('Ops Compute'!C4:L4)</f>
        <v>45264684.43</v>
      </c>
      <c r="K6" s="179">
        <f t="array" ref="K6:K15">TRANSPOSE('Ops Storage'!C35:L35)</f>
        <v>4816.027041</v>
      </c>
      <c r="L6" s="179">
        <f t="shared" ref="L6:L15" si="1">K6+L5</f>
        <v>4816.027041</v>
      </c>
      <c r="M6" s="179">
        <f t="array" ref="M6:M15">TRANSPOSE('Ops Storage'!C38:L38)</f>
        <v>6742.608941</v>
      </c>
      <c r="N6" s="179">
        <f t="array" ref="N6:N15">TRANSPOSE('Ops Storage'!C36:L36)</f>
        <v>2700</v>
      </c>
      <c r="O6" s="179">
        <f t="array" ref="O6:O15">TRANSPOSE('Ops Storage'!C39:L39)</f>
        <v>3986.567536</v>
      </c>
      <c r="P6" s="179">
        <f t="array" ref="P6:P15">TRANSPOSE('Ops Storage'!C42:L42)</f>
        <v>156.42</v>
      </c>
      <c r="Q6" s="179">
        <f t="array" ref="Q6:Q15">TRANSPOSE('Ops Storage'!C43:L43)</f>
        <v>3509.5635</v>
      </c>
      <c r="R6" s="179">
        <f t="shared" ref="R6:R15" si="2">P6+Q6</f>
        <v>3665.9835</v>
      </c>
    </row>
    <row r="7">
      <c r="A7" s="2" t="s">
        <v>632</v>
      </c>
      <c r="B7" s="175">
        <v>370.52171052631576</v>
      </c>
      <c r="C7" s="175">
        <v>39607.97794009374</v>
      </c>
      <c r="D7" s="175">
        <v>9257.301</v>
      </c>
      <c r="E7" s="175">
        <v>35477.66850367921</v>
      </c>
      <c r="F7" s="175">
        <v>80309.80857935332</v>
      </c>
      <c r="G7" s="177">
        <v>435.0</v>
      </c>
      <c r="H7" s="178">
        <v>9257.301</v>
      </c>
      <c r="I7" s="177">
        <v>18391.0</v>
      </c>
      <c r="J7" s="86">
        <v>8.171601354665346E7</v>
      </c>
      <c r="K7" s="179">
        <v>4816.02704099328</v>
      </c>
      <c r="L7" s="179">
        <f t="shared" si="1"/>
        <v>9632.054082</v>
      </c>
      <c r="M7" s="179">
        <v>13485.217881147979</v>
      </c>
      <c r="N7" s="179">
        <v>2700.0000000000005</v>
      </c>
      <c r="O7" s="179">
        <v>7973.135072228743</v>
      </c>
      <c r="P7" s="179">
        <v>190.4175</v>
      </c>
      <c r="Q7" s="179">
        <v>5747.7375</v>
      </c>
      <c r="R7" s="179">
        <f t="shared" si="2"/>
        <v>5938.155</v>
      </c>
    </row>
    <row r="8">
      <c r="A8" s="2" t="s">
        <v>633</v>
      </c>
      <c r="B8" s="175">
        <v>586.0069105263158</v>
      </c>
      <c r="C8" s="175">
        <v>57486.39798498867</v>
      </c>
      <c r="D8" s="175">
        <v>17275.216800000002</v>
      </c>
      <c r="E8" s="175">
        <v>57061.68560260276</v>
      </c>
      <c r="F8" s="175">
        <v>135056.04992316308</v>
      </c>
      <c r="G8" s="177">
        <v>622.0</v>
      </c>
      <c r="H8" s="178">
        <v>17275.216800000002</v>
      </c>
      <c r="I8" s="177">
        <v>25950.0</v>
      </c>
      <c r="J8" s="86">
        <v>1.225740203199802E8</v>
      </c>
      <c r="K8" s="179">
        <v>4816.02704099328</v>
      </c>
      <c r="L8" s="179">
        <f t="shared" si="1"/>
        <v>14448.08112</v>
      </c>
      <c r="M8" s="179">
        <v>20227.82682172197</v>
      </c>
      <c r="N8" s="179">
        <v>2700.0000000000005</v>
      </c>
      <c r="O8" s="179">
        <v>11959.702608343114</v>
      </c>
      <c r="P8" s="179">
        <v>215.4852</v>
      </c>
      <c r="Q8" s="179">
        <v>8017.9158</v>
      </c>
      <c r="R8" s="179">
        <f t="shared" si="2"/>
        <v>8233.401</v>
      </c>
    </row>
    <row r="9">
      <c r="A9" s="2" t="s">
        <v>634</v>
      </c>
      <c r="B9" s="175">
        <v>667.1527105263158</v>
      </c>
      <c r="C9" s="175">
        <v>75289.25114988357</v>
      </c>
      <c r="D9" s="175">
        <v>24143.7621</v>
      </c>
      <c r="E9" s="175">
        <v>77208.71972222615</v>
      </c>
      <c r="F9" s="175">
        <v>204548.60993781034</v>
      </c>
      <c r="G9" s="177">
        <v>795.0</v>
      </c>
      <c r="H9" s="178">
        <v>24143.7621</v>
      </c>
      <c r="I9" s="177">
        <v>31007.0</v>
      </c>
      <c r="J9" s="86">
        <v>1.6343202709330693E8</v>
      </c>
      <c r="K9" s="179">
        <v>4816.02704099328</v>
      </c>
      <c r="L9" s="179">
        <f t="shared" si="1"/>
        <v>19264.10816</v>
      </c>
      <c r="M9" s="179">
        <v>26970.435762295958</v>
      </c>
      <c r="N9" s="179">
        <v>2700.0000000000005</v>
      </c>
      <c r="O9" s="179">
        <v>15946.270144457487</v>
      </c>
      <c r="P9" s="179">
        <v>237.5658</v>
      </c>
      <c r="Q9" s="179">
        <v>10378.1088</v>
      </c>
      <c r="R9" s="179">
        <f t="shared" si="2"/>
        <v>10615.6746</v>
      </c>
    </row>
    <row r="10">
      <c r="A10" s="2" t="s">
        <v>635</v>
      </c>
      <c r="B10" s="175">
        <v>734.9776105263159</v>
      </c>
      <c r="C10" s="175">
        <v>92901.10775477848</v>
      </c>
      <c r="D10" s="175">
        <v>31276.5666</v>
      </c>
      <c r="E10" s="175">
        <v>97355.75384184954</v>
      </c>
      <c r="F10" s="175">
        <v>288455.65586329513</v>
      </c>
      <c r="G10" s="177">
        <v>937.0</v>
      </c>
      <c r="H10" s="178">
        <v>31276.5666</v>
      </c>
      <c r="I10" s="177">
        <v>36063.0</v>
      </c>
      <c r="J10" s="86">
        <v>2.0429003386663362E8</v>
      </c>
      <c r="K10" s="179">
        <v>4816.027040993282</v>
      </c>
      <c r="L10" s="179">
        <f t="shared" si="1"/>
        <v>24080.1352</v>
      </c>
      <c r="M10" s="179">
        <v>33713.04470286995</v>
      </c>
      <c r="N10" s="179">
        <v>2700.0000000000005</v>
      </c>
      <c r="O10" s="179">
        <v>19932.837680571858</v>
      </c>
      <c r="P10" s="179">
        <v>258.2424</v>
      </c>
      <c r="Q10" s="179">
        <v>12880.542</v>
      </c>
      <c r="R10" s="179">
        <f t="shared" si="2"/>
        <v>13138.7844</v>
      </c>
    </row>
    <row r="11">
      <c r="A11" s="2" t="s">
        <v>636</v>
      </c>
      <c r="B11" s="175">
        <v>798.1390105263158</v>
      </c>
      <c r="C11" s="175">
        <v>110623.16683967339</v>
      </c>
      <c r="D11" s="175">
        <v>38733.7338</v>
      </c>
      <c r="E11" s="175">
        <v>117502.78796147293</v>
      </c>
      <c r="F11" s="175">
        <v>386795.5547796174</v>
      </c>
      <c r="G11" s="177">
        <v>1080.0</v>
      </c>
      <c r="H11" s="178">
        <v>38733.7338</v>
      </c>
      <c r="I11" s="177">
        <v>41120.0</v>
      </c>
      <c r="J11" s="86">
        <v>2.451480406399604E8</v>
      </c>
      <c r="K11" s="179">
        <v>4816.027040993278</v>
      </c>
      <c r="L11" s="179">
        <f t="shared" si="1"/>
        <v>28896.16225</v>
      </c>
      <c r="M11" s="179">
        <v>40455.65364344394</v>
      </c>
      <c r="N11" s="179">
        <v>2700.0000000000005</v>
      </c>
      <c r="O11" s="179">
        <v>23919.405216686228</v>
      </c>
      <c r="P11" s="179">
        <v>278.6466</v>
      </c>
      <c r="Q11" s="179">
        <v>15475.083</v>
      </c>
      <c r="R11" s="179">
        <f t="shared" si="2"/>
        <v>15753.7296</v>
      </c>
    </row>
    <row r="12">
      <c r="A12" s="2" t="s">
        <v>637</v>
      </c>
      <c r="B12" s="175">
        <v>858.5884105263158</v>
      </c>
      <c r="C12" s="175">
        <v>128499.3714445683</v>
      </c>
      <c r="D12" s="175">
        <v>46554.7392</v>
      </c>
      <c r="E12" s="175">
        <v>137649.8220810963</v>
      </c>
      <c r="F12" s="175">
        <v>499593.9976067772</v>
      </c>
      <c r="G12" s="177">
        <v>1222.0</v>
      </c>
      <c r="H12" s="178">
        <v>46554.7392</v>
      </c>
      <c r="I12" s="177">
        <v>46177.0</v>
      </c>
      <c r="J12" s="86">
        <v>2.860060474132871E8</v>
      </c>
      <c r="K12" s="179">
        <v>4816.027040993282</v>
      </c>
      <c r="L12" s="179">
        <f t="shared" si="1"/>
        <v>33712.18929</v>
      </c>
      <c r="M12" s="179">
        <v>47198.262584017924</v>
      </c>
      <c r="N12" s="179">
        <v>2700.0000000000005</v>
      </c>
      <c r="O12" s="179">
        <v>27905.9727528006</v>
      </c>
      <c r="P12" s="179">
        <v>298.0152</v>
      </c>
      <c r="Q12" s="179">
        <v>18199.1142</v>
      </c>
      <c r="R12" s="179">
        <f t="shared" si="2"/>
        <v>18497.1294</v>
      </c>
    </row>
    <row r="13">
      <c r="A13" s="2" t="s">
        <v>638</v>
      </c>
      <c r="B13" s="175">
        <v>917.9443105263158</v>
      </c>
      <c r="C13" s="175">
        <v>146518.48596946322</v>
      </c>
      <c r="D13" s="175">
        <v>54716.2197</v>
      </c>
      <c r="E13" s="175">
        <v>157796.8562007197</v>
      </c>
      <c r="F13" s="175">
        <v>626874.8026647745</v>
      </c>
      <c r="G13" s="177">
        <v>1364.0</v>
      </c>
      <c r="H13" s="178">
        <v>54716.2197</v>
      </c>
      <c r="I13" s="177">
        <v>51234.0</v>
      </c>
      <c r="J13" s="86">
        <v>3.2686405418661386E8</v>
      </c>
      <c r="K13" s="179">
        <v>4816.027040993278</v>
      </c>
      <c r="L13" s="179">
        <f t="shared" si="1"/>
        <v>38528.21633</v>
      </c>
      <c r="M13" s="179">
        <v>53940.871524591916</v>
      </c>
      <c r="N13" s="179">
        <v>2700.0000000000005</v>
      </c>
      <c r="O13" s="179">
        <v>31892.540288914974</v>
      </c>
      <c r="P13" s="179">
        <v>317.5983</v>
      </c>
      <c r="Q13" s="179">
        <v>21042.0225</v>
      </c>
      <c r="R13" s="179">
        <f t="shared" si="2"/>
        <v>21359.6208</v>
      </c>
    </row>
    <row r="14">
      <c r="A14" s="2" t="s">
        <v>639</v>
      </c>
      <c r="B14" s="175">
        <v>974.4913105263158</v>
      </c>
      <c r="C14" s="175">
        <v>164631.10905435812</v>
      </c>
      <c r="D14" s="175">
        <v>63205.9791</v>
      </c>
      <c r="E14" s="175">
        <v>177943.89032034308</v>
      </c>
      <c r="F14" s="175">
        <v>768653.5547136094</v>
      </c>
      <c r="G14" s="177">
        <v>1507.0</v>
      </c>
      <c r="H14" s="178">
        <v>63205.9791</v>
      </c>
      <c r="I14" s="177">
        <v>56291.0</v>
      </c>
      <c r="J14" s="86">
        <v>3.6772206095994055E8</v>
      </c>
      <c r="K14" s="179">
        <v>4816.027040993278</v>
      </c>
      <c r="L14" s="179">
        <f t="shared" si="1"/>
        <v>43344.24337</v>
      </c>
      <c r="M14" s="179">
        <v>60683.48046516591</v>
      </c>
      <c r="N14" s="179">
        <v>2700.0000000000005</v>
      </c>
      <c r="O14" s="179">
        <v>35879.10782502934</v>
      </c>
      <c r="P14" s="179">
        <v>335.1936</v>
      </c>
      <c r="Q14" s="179">
        <v>23964.8424</v>
      </c>
      <c r="R14" s="179">
        <f t="shared" si="2"/>
        <v>24300.036</v>
      </c>
    </row>
    <row r="15">
      <c r="A15" s="2" t="s">
        <v>640</v>
      </c>
      <c r="B15" s="175">
        <v>1029.2743105263157</v>
      </c>
      <c r="C15" s="175">
        <v>182890.12469925304</v>
      </c>
      <c r="D15" s="175">
        <v>72016.5117</v>
      </c>
      <c r="E15" s="175">
        <v>198090.9244399665</v>
      </c>
      <c r="F15" s="175">
        <v>924954.6525132817</v>
      </c>
      <c r="G15" s="177">
        <v>1649.0</v>
      </c>
      <c r="H15" s="178">
        <v>72016.5117</v>
      </c>
      <c r="I15" s="177">
        <v>61348.0</v>
      </c>
      <c r="J15" s="86">
        <v>4.0858006773326725E8</v>
      </c>
      <c r="K15" s="179">
        <v>4816.0270409932855</v>
      </c>
      <c r="L15" s="179">
        <f t="shared" si="1"/>
        <v>48160.27041</v>
      </c>
      <c r="M15" s="179">
        <v>67426.0894057399</v>
      </c>
      <c r="N15" s="179">
        <v>2700.0000000000005</v>
      </c>
      <c r="O15" s="179">
        <v>39865.675361143716</v>
      </c>
      <c r="P15" s="179">
        <v>352.7982</v>
      </c>
      <c r="Q15" s="179">
        <v>27009.6468</v>
      </c>
      <c r="R15" s="179">
        <f t="shared" si="2"/>
        <v>27362.445</v>
      </c>
    </row>
  </sheetData>
  <mergeCells count="3">
    <mergeCell ref="B1:F1"/>
    <mergeCell ref="G1:I1"/>
    <mergeCell ref="K1:R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s>
  <sheetData>
    <row r="2">
      <c r="A2" s="2" t="s">
        <v>641</v>
      </c>
      <c r="B2" s="2" t="s">
        <v>642</v>
      </c>
      <c r="C2" s="2">
        <v>4.0</v>
      </c>
      <c r="D2" s="2">
        <v>0.0</v>
      </c>
    </row>
    <row r="3">
      <c r="A3" s="26" t="str">
        <f>Model!A45</f>
        <v>Year</v>
      </c>
      <c r="B3" s="169">
        <f>Model!C45</f>
        <v>2021</v>
      </c>
      <c r="C3" s="169">
        <f>Model!D45</f>
        <v>2022</v>
      </c>
      <c r="D3" s="169">
        <f>Model!E45</f>
        <v>2023</v>
      </c>
      <c r="E3" s="169">
        <f>Model!F45</f>
        <v>2024</v>
      </c>
    </row>
    <row r="4">
      <c r="A4" s="26" t="str">
        <f>Model!A46</f>
        <v>Core-hours Needed Total (DRP)</v>
      </c>
      <c r="B4" s="180">
        <f>Model!C46</f>
        <v>4406677.658</v>
      </c>
      <c r="C4" s="180">
        <f>Model!D46</f>
        <v>4406677.658</v>
      </c>
      <c r="D4" s="180">
        <f>Model!E46</f>
        <v>11216345.45</v>
      </c>
      <c r="E4" s="180">
        <f>Model!F46</f>
        <v>45264684.43</v>
      </c>
    </row>
    <row r="5">
      <c r="A5" s="26" t="str">
        <f>Model!A48</f>
        <v>Time to Process days</v>
      </c>
      <c r="B5" s="181">
        <f>Model!C48</f>
        <v>100</v>
      </c>
      <c r="C5" s="181">
        <f>Model!D48</f>
        <v>100</v>
      </c>
      <c r="D5" s="181">
        <f>Model!E48</f>
        <v>100</v>
      </c>
      <c r="E5" s="26">
        <f>Model!F48</f>
        <v>100</v>
      </c>
    </row>
    <row r="6">
      <c r="A6" s="26" t="str">
        <f>Model!A50</f>
        <v>Instantaneous cores (DRP) Total</v>
      </c>
      <c r="B6" s="32">
        <f>Model!C50</f>
        <v>1836.115691</v>
      </c>
      <c r="C6" s="32">
        <f>Model!D50</f>
        <v>1836.115691</v>
      </c>
      <c r="D6" s="32">
        <f>Model!E50</f>
        <v>4673.477272</v>
      </c>
      <c r="E6" s="32">
        <f>Model!F50</f>
        <v>18860.28518</v>
      </c>
    </row>
    <row r="7">
      <c r="A7" s="26" t="str">
        <f>Model!A52</f>
        <v>Instantaneous cores (Alerts)</v>
      </c>
      <c r="B7" s="26">
        <f>Model!C52</f>
        <v>0</v>
      </c>
      <c r="C7" s="32">
        <f>Model!D52</f>
        <v>0</v>
      </c>
      <c r="D7" s="182">
        <f>Model!E52</f>
        <v>1188.409091</v>
      </c>
      <c r="E7" s="30">
        <f>Model!F52</f>
        <v>1188.409091</v>
      </c>
    </row>
    <row r="8">
      <c r="A8" s="26" t="str">
        <f>Model!A54</f>
        <v>Instantaneous cores (US DAC/Staff)</v>
      </c>
      <c r="B8" s="32">
        <f>Model!C54</f>
        <v>540</v>
      </c>
      <c r="C8" s="32">
        <f>Model!D54</f>
        <v>540</v>
      </c>
      <c r="D8" s="32">
        <f>Model!E54</f>
        <v>140.8445205</v>
      </c>
      <c r="E8" s="32">
        <f>Model!F54</f>
        <v>568.3921561</v>
      </c>
    </row>
    <row r="9">
      <c r="A9" s="26" t="str">
        <f>Model!A58</f>
        <v>Qserv nodes (US DAC/Staff)</v>
      </c>
      <c r="B9" s="32" t="str">
        <f>Model!C58</f>
        <v/>
      </c>
      <c r="C9" s="32" t="str">
        <f>Model!D58</f>
        <v/>
      </c>
      <c r="D9" s="32">
        <f>Model!E58</f>
        <v>14</v>
      </c>
      <c r="E9" s="32">
        <f>Model!F58</f>
        <v>95</v>
      </c>
    </row>
    <row r="10">
      <c r="A10" s="2" t="s">
        <v>643</v>
      </c>
      <c r="B10" s="32">
        <f>Model!B$108</f>
        <v>111</v>
      </c>
      <c r="C10" s="32">
        <f>Model!C$108</f>
        <v>111</v>
      </c>
      <c r="D10" s="32">
        <f>Model!D$108</f>
        <v>251</v>
      </c>
      <c r="E10" s="32">
        <f>Model!E$108</f>
        <v>788</v>
      </c>
    </row>
    <row r="11">
      <c r="A11" s="26" t="str">
        <f>Model!A$63</f>
        <v>Fast Storage (TB)</v>
      </c>
      <c r="B11" s="30">
        <f>Model!C$63</f>
        <v>11.84210526</v>
      </c>
      <c r="C11" s="30">
        <f>Model!D$63</f>
        <v>23.68421053</v>
      </c>
      <c r="D11" s="30">
        <f>Model!E$63</f>
        <v>49.75421053</v>
      </c>
      <c r="E11" s="30">
        <f>Model!F$63</f>
        <v>206.1742105</v>
      </c>
    </row>
    <row r="12">
      <c r="A12" s="26" t="str">
        <f>Model!A$65</f>
        <v>Normal Storage (TB)</v>
      </c>
      <c r="B12" s="30">
        <f>Model!C$65</f>
        <v>3466.81753</v>
      </c>
      <c r="C12" s="30">
        <f>Model!D$65</f>
        <v>3534.963997</v>
      </c>
      <c r="D12" s="30">
        <f>Model!E$65</f>
        <v>6629.573978</v>
      </c>
      <c r="E12" s="30">
        <f>Model!F$65</f>
        <v>24080.6694</v>
      </c>
    </row>
    <row r="13">
      <c r="A13" s="26" t="str">
        <f>Model!A$67</f>
        <v>Latent Storage  (TB)</v>
      </c>
      <c r="B13" s="30">
        <f>Model!C$67</f>
        <v>318.5203069</v>
      </c>
      <c r="C13" s="30">
        <f>Model!D$67</f>
        <v>875.9308441</v>
      </c>
      <c r="D13" s="30">
        <f>Model!E$67</f>
        <v>3428.955108</v>
      </c>
      <c r="E13" s="30">
        <f>Model!F$67</f>
        <v>16617.20192</v>
      </c>
    </row>
    <row r="14">
      <c r="A14" s="26" t="str">
        <f>Model!A$69</f>
        <v>High Latency (TB)</v>
      </c>
      <c r="B14" s="30">
        <f>Model!C$69</f>
        <v>2697.568715</v>
      </c>
      <c r="C14" s="30">
        <f>Model!D$69</f>
        <v>5702.174128</v>
      </c>
      <c r="D14" s="30">
        <f>Model!E$69</f>
        <v>13216.02834</v>
      </c>
      <c r="E14" s="30">
        <f>Model!F$69</f>
        <v>40472.48039</v>
      </c>
    </row>
    <row r="15">
      <c r="A15" s="2" t="s">
        <v>644</v>
      </c>
      <c r="B15" s="30">
        <f t="shared" ref="B15:E15" si="1">sum(B11:B14)</f>
        <v>6494.748657</v>
      </c>
      <c r="C15" s="30">
        <f t="shared" si="1"/>
        <v>10136.75318</v>
      </c>
      <c r="D15" s="30">
        <f t="shared" si="1"/>
        <v>23324.31164</v>
      </c>
      <c r="E15" s="30">
        <f t="shared" si="1"/>
        <v>81376.52591</v>
      </c>
    </row>
    <row r="17">
      <c r="A17" s="2" t="s">
        <v>645</v>
      </c>
      <c r="B17" s="2" t="s">
        <v>646</v>
      </c>
      <c r="C17" s="2">
        <v>4.0</v>
      </c>
      <c r="D17" s="2">
        <v>0.0</v>
      </c>
    </row>
    <row r="18">
      <c r="A18" s="26" t="str">
        <f>Model!A$25</f>
        <v>Type of machine </v>
      </c>
      <c r="B18" s="26" t="str">
        <f>Model!B$25</f>
        <v>Cores</v>
      </c>
      <c r="C18" s="26" t="str">
        <f>Model!C$25</f>
        <v>Memory(GB)</v>
      </c>
      <c r="D18" s="26" t="str">
        <f>Model!D$25</f>
        <v>Eff cores/node</v>
      </c>
    </row>
    <row r="19">
      <c r="A19" s="26" t="str">
        <f>Model!A$26</f>
        <v>Xeon </v>
      </c>
      <c r="B19" s="26">
        <f>Model!B$26</f>
        <v>32</v>
      </c>
      <c r="C19" s="26">
        <f>Model!C$26</f>
        <v>192</v>
      </c>
      <c r="D19" s="26">
        <f>Model!D$26</f>
        <v>27</v>
      </c>
    </row>
    <row r="20">
      <c r="A20" s="26" t="str">
        <f>Model!A$27</f>
        <v>Qserv </v>
      </c>
      <c r="B20" s="26">
        <f>Model!B$27</f>
        <v>12</v>
      </c>
      <c r="C20" s="26">
        <f>Model!C$27</f>
        <v>128</v>
      </c>
      <c r="D20" s="26">
        <f>Model!D$27</f>
        <v>12</v>
      </c>
    </row>
    <row r="21">
      <c r="A21" s="26" t="str">
        <f>Model!A$30</f>
        <v>current compute node </v>
      </c>
      <c r="B21" s="26">
        <f>Model!B$30</f>
        <v>24</v>
      </c>
      <c r="C21" s="26">
        <f>Model!C$30</f>
        <v>128</v>
      </c>
      <c r="D21" s="26">
        <f>Model!D$30</f>
        <v>24</v>
      </c>
    </row>
    <row r="24">
      <c r="A24" s="2" t="s">
        <v>647</v>
      </c>
      <c r="B24" s="2" t="s">
        <v>648</v>
      </c>
      <c r="C24" s="2">
        <v>1.0</v>
      </c>
      <c r="D24" s="2">
        <v>0.0</v>
      </c>
    </row>
    <row r="25">
      <c r="A25" s="26" t="str">
        <f>Model!A34</f>
        <v>Storage type </v>
      </c>
    </row>
    <row r="26">
      <c r="A26" s="26" t="str">
        <f>Model!A35</f>
        <v>fast -- NVMe (50GB/s each) /TB  </v>
      </c>
    </row>
    <row r="27">
      <c r="A27" s="26" t="str">
        <f>Model!A36</f>
        <v>normal - SATA GPFS file systems/TB  </v>
      </c>
    </row>
    <row r="28">
      <c r="A28" s="26" t="str">
        <f>Model!A37</f>
        <v>latency -- slower but on disk </v>
      </c>
    </row>
    <row r="29">
      <c r="A29" s="26" t="str">
        <f>Model!A38</f>
        <v>high latency -- very slow -- on tape </v>
      </c>
    </row>
    <row r="33">
      <c r="A33" s="2" t="s">
        <v>649</v>
      </c>
      <c r="B33" s="2" t="s">
        <v>650</v>
      </c>
      <c r="C33" s="2">
        <v>4.0</v>
      </c>
      <c r="D33" s="2">
        <v>0.0</v>
      </c>
    </row>
    <row r="34">
      <c r="A34" s="2" t="s">
        <v>3</v>
      </c>
      <c r="B34" s="2">
        <v>2020.0</v>
      </c>
      <c r="C34" s="2">
        <v>2021.0</v>
      </c>
      <c r="D34" s="2">
        <v>2022.0</v>
      </c>
    </row>
    <row r="35">
      <c r="A35" s="2" t="s">
        <v>651</v>
      </c>
      <c r="B35" s="30">
        <f>Storage!C38+Storage!C55</f>
        <v>11.84210526</v>
      </c>
      <c r="C35" s="30">
        <f>Storage!D38+Storage!D55</f>
        <v>23.68421053</v>
      </c>
      <c r="D35" s="30">
        <f>Storage!E38+Storage!E55</f>
        <v>49.75421053</v>
      </c>
      <c r="F35" s="2" t="s">
        <v>652</v>
      </c>
    </row>
    <row r="36">
      <c r="A36" s="2" t="s">
        <v>653</v>
      </c>
      <c r="B36" s="31">
        <f>Storage!C46+Storage!C49+Storage!C51</f>
        <v>1228.872482</v>
      </c>
      <c r="C36" s="31">
        <f>Storage!C46+Storage!D46+Storage!D49+Storage!D51</f>
        <v>1786.28302</v>
      </c>
      <c r="D36" s="31">
        <f>Storage!C46+Storage!D46+Storage!E46+Storage!E49+Storage!E51</f>
        <v>3076.290263</v>
      </c>
      <c r="F36" s="2" t="s">
        <v>654</v>
      </c>
    </row>
    <row r="37">
      <c r="A37" s="2" t="s">
        <v>655</v>
      </c>
      <c r="B37" s="31">
        <f>Storage!C50+Storage!C52</f>
        <v>738.5536646</v>
      </c>
      <c r="C37" s="31">
        <f>Storage!D50+Storage!D52</f>
        <v>738.5536646</v>
      </c>
      <c r="D37" s="31">
        <f>Storage!E50+Storage!E52</f>
        <v>1862.321821</v>
      </c>
      <c r="F37" s="2" t="s">
        <v>656</v>
      </c>
    </row>
    <row r="38">
      <c r="A38" s="2" t="s">
        <v>657</v>
      </c>
      <c r="B38" s="31">
        <f>Storage!C53+Storage!C52*0.25+Storage!C47+Storage!C58</f>
        <v>725.1425684</v>
      </c>
      <c r="C38" s="31">
        <f>Storage!D53+Storage!D52*0.25+Storage!D47+Storage!D58</f>
        <v>778.2890355</v>
      </c>
      <c r="D38" s="31">
        <f>Storage!E53+Storage!E52*0.25+Storage!E47+Storage!E58</f>
        <v>2732.115014</v>
      </c>
      <c r="F38" s="2" t="s">
        <v>658</v>
      </c>
    </row>
    <row r="39">
      <c r="A39" s="2" t="s">
        <v>659</v>
      </c>
      <c r="B39" s="2">
        <f>round(Storage!C56/3,0)+40</f>
        <v>403</v>
      </c>
      <c r="C39" s="2">
        <f>round(Storage!D56/3,0)+40</f>
        <v>403</v>
      </c>
      <c r="D39" s="31">
        <f>round(Storage!E56/3,0)+round(Storage!D56/3,0)+Storage!E54</f>
        <v>670.3768157</v>
      </c>
      <c r="F39" s="2" t="s">
        <v>660</v>
      </c>
    </row>
    <row r="40">
      <c r="A40" s="2" t="s">
        <v>661</v>
      </c>
      <c r="B40" s="31">
        <f>Storage!C57</f>
        <v>5</v>
      </c>
      <c r="C40" s="31">
        <f>Storage!D57</f>
        <v>20</v>
      </c>
      <c r="D40" s="31">
        <f>Storage!E57</f>
        <v>1000</v>
      </c>
      <c r="F40" s="2" t="s">
        <v>662</v>
      </c>
    </row>
    <row r="41">
      <c r="A41" s="2" t="s">
        <v>663</v>
      </c>
      <c r="B41" s="30">
        <f t="shared" ref="B41:D41" si="2">sum(B35:B40)</f>
        <v>3112.410821</v>
      </c>
      <c r="C41" s="30">
        <f t="shared" si="2"/>
        <v>3749.80993</v>
      </c>
      <c r="D41" s="30">
        <f t="shared" si="2"/>
        <v>9390.858124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s>
  <sheetData>
    <row r="1">
      <c r="A1" s="2" t="s">
        <v>664</v>
      </c>
      <c r="B1" s="2" t="s">
        <v>665</v>
      </c>
      <c r="C1" s="2">
        <v>2.0</v>
      </c>
      <c r="D1" s="2">
        <v>0.0</v>
      </c>
    </row>
    <row r="2">
      <c r="A2" s="26" t="str">
        <f>Model!A45</f>
        <v>Year</v>
      </c>
      <c r="B2" s="169">
        <f>Model!E45</f>
        <v>2023</v>
      </c>
    </row>
    <row r="3">
      <c r="A3" s="26" t="str">
        <f>Model!A50</f>
        <v>Instantaneous cores (DRP) Total</v>
      </c>
      <c r="B3" s="32">
        <f>Model!E50</f>
        <v>4673.477272</v>
      </c>
    </row>
    <row r="4">
      <c r="A4" s="26" t="str">
        <f>Model!A52</f>
        <v>Instantaneous cores (Alerts)</v>
      </c>
      <c r="B4" s="183">
        <f>Model!E52</f>
        <v>1188.409091</v>
      </c>
    </row>
    <row r="5">
      <c r="A5" s="26" t="str">
        <f>Model!A58</f>
        <v>Qserv nodes (US DAC/Staff)</v>
      </c>
      <c r="B5" s="32">
        <f>Model!E58</f>
        <v>14</v>
      </c>
    </row>
    <row r="6">
      <c r="A6" s="26" t="str">
        <f>Model!A$108</f>
        <v>Total owned nodes</v>
      </c>
      <c r="B6" s="32">
        <f>Model!E108</f>
        <v>788</v>
      </c>
    </row>
    <row r="7">
      <c r="A7" s="26" t="str">
        <f>Model!A$63</f>
        <v>Fast Storage (TB)</v>
      </c>
      <c r="B7" s="30">
        <f>Model!E63</f>
        <v>49.75421053</v>
      </c>
    </row>
    <row r="8">
      <c r="A8" s="26" t="str">
        <f>Model!A$65</f>
        <v>Normal Storage (TB)</v>
      </c>
      <c r="B8" s="30">
        <f>Model!E65</f>
        <v>6629.573978</v>
      </c>
    </row>
    <row r="9">
      <c r="A9" s="26" t="str">
        <f>Model!A$67</f>
        <v>Latent Storage  (TB)</v>
      </c>
      <c r="B9" s="30">
        <f>Model!E67</f>
        <v>3428.955108</v>
      </c>
    </row>
    <row r="10">
      <c r="A10" s="26" t="str">
        <f>Model!A$69</f>
        <v>High Latency (TB)</v>
      </c>
      <c r="B10" s="30">
        <f>Model!E69</f>
        <v>13216.02834</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14" max="14" width="66.5"/>
  </cols>
  <sheetData>
    <row r="1">
      <c r="A1" s="2" t="s">
        <v>666</v>
      </c>
      <c r="B1" s="2">
        <v>200.0</v>
      </c>
      <c r="C1" s="55" t="s">
        <v>667</v>
      </c>
      <c r="D1" s="2">
        <v>15.0</v>
      </c>
      <c r="F1" s="55" t="s">
        <v>668</v>
      </c>
      <c r="G1" s="2">
        <v>15.0</v>
      </c>
      <c r="I1" s="55" t="s">
        <v>669</v>
      </c>
      <c r="J1" s="2">
        <v>30.0</v>
      </c>
    </row>
    <row r="2">
      <c r="B2" s="118" t="s">
        <v>539</v>
      </c>
      <c r="C2" s="118" t="s">
        <v>540</v>
      </c>
      <c r="D2" s="118" t="s">
        <v>541</v>
      </c>
      <c r="E2" s="118" t="s">
        <v>542</v>
      </c>
      <c r="F2" s="118" t="s">
        <v>543</v>
      </c>
      <c r="G2" s="118" t="s">
        <v>544</v>
      </c>
      <c r="H2" s="118" t="s">
        <v>545</v>
      </c>
      <c r="I2" s="118" t="s">
        <v>546</v>
      </c>
      <c r="J2" s="118" t="s">
        <v>547</v>
      </c>
      <c r="K2" s="118" t="s">
        <v>548</v>
      </c>
      <c r="L2" s="2"/>
      <c r="M2" s="2" t="s">
        <v>670</v>
      </c>
      <c r="N2" s="1" t="s">
        <v>350</v>
      </c>
    </row>
    <row r="4">
      <c r="A4" s="26" t="str">
        <f>'Ops Storage'!A35</f>
        <v>Incremental LSSTCam Raw Images</v>
      </c>
      <c r="B4" s="30">
        <f>'Ops Storage'!C35</f>
        <v>4816.027041</v>
      </c>
      <c r="C4" s="30">
        <f>'Ops Storage'!D35</f>
        <v>4816.027041</v>
      </c>
      <c r="D4" s="30">
        <f>'Ops Storage'!E35</f>
        <v>4816.027041</v>
      </c>
      <c r="E4" s="30">
        <f>'Ops Storage'!F35</f>
        <v>4816.027041</v>
      </c>
      <c r="F4" s="30">
        <f>'Ops Storage'!G35</f>
        <v>4816.027041</v>
      </c>
      <c r="G4" s="30">
        <f>'Ops Storage'!H35</f>
        <v>4816.027041</v>
      </c>
      <c r="H4" s="30">
        <f>'Ops Storage'!I35</f>
        <v>4816.027041</v>
      </c>
      <c r="I4" s="30">
        <f>'Ops Storage'!J35</f>
        <v>4816.027041</v>
      </c>
      <c r="J4" s="30">
        <f>'Ops Storage'!K35</f>
        <v>4816.027041</v>
      </c>
      <c r="K4" s="30">
        <f>'Ops Storage'!L35</f>
        <v>4816.027041</v>
      </c>
      <c r="L4" s="2"/>
      <c r="M4" s="2" t="s">
        <v>360</v>
      </c>
      <c r="N4" s="2" t="s">
        <v>671</v>
      </c>
    </row>
    <row r="5">
      <c r="A5" s="26" t="str">
        <f>'Ops Storage'!A36</f>
        <v>LSSTCam Output Coadd Images</v>
      </c>
      <c r="B5" s="30">
        <f>'Ops Storage'!C36</f>
        <v>2700</v>
      </c>
      <c r="C5" s="30">
        <f>'Ops Storage'!D36</f>
        <v>2700</v>
      </c>
      <c r="D5" s="30">
        <f>'Ops Storage'!E36</f>
        <v>2700</v>
      </c>
      <c r="E5" s="30">
        <f>'Ops Storage'!F36</f>
        <v>2700</v>
      </c>
      <c r="F5" s="30">
        <f>'Ops Storage'!G36</f>
        <v>2700</v>
      </c>
      <c r="G5" s="30">
        <f>'Ops Storage'!H36</f>
        <v>2700</v>
      </c>
      <c r="H5" s="30">
        <f>'Ops Storage'!I36</f>
        <v>2700</v>
      </c>
      <c r="I5" s="30">
        <f>'Ops Storage'!J36</f>
        <v>2700</v>
      </c>
      <c r="J5" s="30">
        <f>'Ops Storage'!K36</f>
        <v>2700</v>
      </c>
      <c r="K5" s="30">
        <f>'Ops Storage'!L36</f>
        <v>2700</v>
      </c>
      <c r="L5" s="2"/>
      <c r="M5" s="2" t="s">
        <v>360</v>
      </c>
      <c r="N5" s="2" t="s">
        <v>672</v>
      </c>
    </row>
    <row r="6">
      <c r="A6" s="2" t="s">
        <v>673</v>
      </c>
      <c r="B6" s="30">
        <f>'Ops Storage'!C38+'Ops Storage'!C39</f>
        <v>10729.17648</v>
      </c>
      <c r="C6" s="30">
        <f>'Ops Storage'!D38+'Ops Storage'!D39</f>
        <v>21458.35295</v>
      </c>
      <c r="D6" s="30">
        <f>'Ops Storage'!E38+'Ops Storage'!E39</f>
        <v>32187.52943</v>
      </c>
      <c r="E6" s="30">
        <f>'Ops Storage'!F38+'Ops Storage'!F39</f>
        <v>42916.70591</v>
      </c>
      <c r="F6" s="30">
        <f>'Ops Storage'!G38+'Ops Storage'!G39</f>
        <v>53645.88238</v>
      </c>
      <c r="G6" s="30">
        <f>'Ops Storage'!H38+'Ops Storage'!H39</f>
        <v>64375.05886</v>
      </c>
      <c r="H6" s="30">
        <f>'Ops Storage'!I38+'Ops Storage'!I39</f>
        <v>75104.23534</v>
      </c>
      <c r="I6" s="30">
        <f>'Ops Storage'!J38+'Ops Storage'!J39</f>
        <v>85833.41181</v>
      </c>
      <c r="J6" s="30">
        <f>'Ops Storage'!K38+'Ops Storage'!K39</f>
        <v>96562.58829</v>
      </c>
      <c r="K6" s="30">
        <f>'Ops Storage'!L38+'Ops Storage'!L39</f>
        <v>107291.7648</v>
      </c>
      <c r="L6" s="2"/>
      <c r="M6" s="2" t="s">
        <v>360</v>
      </c>
      <c r="N6" s="2" t="s">
        <v>674</v>
      </c>
    </row>
    <row r="7">
      <c r="A7" s="2" t="s">
        <v>675</v>
      </c>
      <c r="B7" s="30">
        <f>'Ops Storage'!C43</f>
        <v>3509.5635</v>
      </c>
      <c r="C7" s="30">
        <f>'Ops Storage'!D43</f>
        <v>5747.7375</v>
      </c>
      <c r="D7" s="30">
        <f>'Ops Storage'!E43</f>
        <v>8017.9158</v>
      </c>
      <c r="E7" s="30">
        <f>'Ops Storage'!F43</f>
        <v>10378.1088</v>
      </c>
      <c r="F7" s="30">
        <f>'Ops Storage'!G43</f>
        <v>12880.542</v>
      </c>
      <c r="G7" s="30">
        <f>'Ops Storage'!H43</f>
        <v>15475.083</v>
      </c>
      <c r="H7" s="30">
        <f>'Ops Storage'!I43</f>
        <v>18199.1142</v>
      </c>
      <c r="I7" s="30">
        <f>'Ops Storage'!J43</f>
        <v>21042.0225</v>
      </c>
      <c r="J7" s="30">
        <f>'Ops Storage'!K43</f>
        <v>23964.8424</v>
      </c>
      <c r="K7" s="30">
        <f>'Ops Storage'!L43</f>
        <v>27009.6468</v>
      </c>
      <c r="L7" s="2"/>
      <c r="M7" s="2" t="s">
        <v>360</v>
      </c>
      <c r="N7" s="2"/>
    </row>
    <row r="8">
      <c r="A8" s="2" t="s">
        <v>676</v>
      </c>
      <c r="B8" s="184">
        <f t="shared" ref="B8:K8" si="1">B6*8/$B$1/86400*1000</f>
        <v>4.967211332</v>
      </c>
      <c r="C8" s="184">
        <f t="shared" si="1"/>
        <v>9.934422664</v>
      </c>
      <c r="D8" s="184">
        <f t="shared" si="1"/>
        <v>14.901634</v>
      </c>
      <c r="E8" s="184">
        <f t="shared" si="1"/>
        <v>19.86884533</v>
      </c>
      <c r="F8" s="184">
        <f t="shared" si="1"/>
        <v>24.83605666</v>
      </c>
      <c r="G8" s="184">
        <f t="shared" si="1"/>
        <v>29.80326799</v>
      </c>
      <c r="H8" s="184">
        <f t="shared" si="1"/>
        <v>34.77047932</v>
      </c>
      <c r="I8" s="184">
        <f t="shared" si="1"/>
        <v>39.73769065</v>
      </c>
      <c r="J8" s="184">
        <f t="shared" si="1"/>
        <v>44.70490199</v>
      </c>
      <c r="K8" s="184">
        <f t="shared" si="1"/>
        <v>49.67211332</v>
      </c>
      <c r="L8" s="185"/>
      <c r="M8" s="185" t="s">
        <v>677</v>
      </c>
      <c r="N8" s="2" t="s">
        <v>678</v>
      </c>
    </row>
    <row r="10">
      <c r="A10" s="2" t="s">
        <v>679</v>
      </c>
      <c r="B10" s="184">
        <f>'Ops Storage'!$C$11*'Ops Storage'!$C$12*'Ops Storage'!$C$17/6*1000*8</f>
        <v>16.9877497</v>
      </c>
      <c r="C10" s="184">
        <f>'Ops Storage'!$C$11*'Ops Storage'!$C$12*'Ops Storage'!$C$17/6*1000*8</f>
        <v>16.9877497</v>
      </c>
      <c r="D10" s="184">
        <f>'Ops Storage'!$C$11*'Ops Storage'!$C$12*'Ops Storage'!$C$17/6*1000*8</f>
        <v>16.9877497</v>
      </c>
      <c r="E10" s="184">
        <f>'Ops Storage'!$C$11*'Ops Storage'!$C$12*'Ops Storage'!$C$17/6*1000*8</f>
        <v>16.9877497</v>
      </c>
      <c r="F10" s="184">
        <f>'Ops Storage'!$C$11*'Ops Storage'!$C$12*'Ops Storage'!$C$17/6*1000*8</f>
        <v>16.9877497</v>
      </c>
      <c r="G10" s="184">
        <f>'Ops Storage'!$C$11*'Ops Storage'!$C$12*'Ops Storage'!$C$17/6*1000*8</f>
        <v>16.9877497</v>
      </c>
      <c r="H10" s="184">
        <f>'Ops Storage'!$C$11*'Ops Storage'!$C$12*'Ops Storage'!$C$17/6*1000*8</f>
        <v>16.9877497</v>
      </c>
      <c r="I10" s="184">
        <f>'Ops Storage'!$C$11*'Ops Storage'!$C$12*'Ops Storage'!$C$17/6*1000*8</f>
        <v>16.9877497</v>
      </c>
      <c r="J10" s="184">
        <f>'Ops Storage'!$C$11*'Ops Storage'!$C$12*'Ops Storage'!$C$17/6*1000*8</f>
        <v>16.9877497</v>
      </c>
      <c r="K10" s="184">
        <f>'Ops Storage'!$C$11*'Ops Storage'!$C$12*'Ops Storage'!$C$17/6*1000*8</f>
        <v>16.9877497</v>
      </c>
      <c r="L10" s="2"/>
      <c r="M10" s="2" t="s">
        <v>677</v>
      </c>
      <c r="N10" s="2" t="s">
        <v>680</v>
      </c>
    </row>
    <row r="11">
      <c r="A11" s="2" t="s">
        <v>681</v>
      </c>
      <c r="B11" s="185">
        <v>1.0</v>
      </c>
      <c r="C11" s="185">
        <v>1.0</v>
      </c>
      <c r="D11" s="185">
        <v>1.0</v>
      </c>
      <c r="E11" s="185">
        <v>1.0</v>
      </c>
      <c r="F11" s="185">
        <v>1.0</v>
      </c>
      <c r="G11" s="185">
        <v>1.0</v>
      </c>
      <c r="H11" s="185">
        <v>1.0</v>
      </c>
      <c r="I11" s="185">
        <v>1.0</v>
      </c>
      <c r="J11" s="185">
        <v>1.0</v>
      </c>
      <c r="K11" s="185">
        <v>1.0</v>
      </c>
      <c r="L11" s="2"/>
      <c r="M11" s="2" t="s">
        <v>677</v>
      </c>
      <c r="N11" s="2" t="s">
        <v>682</v>
      </c>
    </row>
    <row r="12">
      <c r="A12" s="2" t="s">
        <v>683</v>
      </c>
      <c r="B12" s="184">
        <f>B4/'Ops Storage'!C15*8/86400*1000</f>
        <v>1.486428099</v>
      </c>
      <c r="C12" s="184">
        <f>C4/'Ops Storage'!D15*8/86400*1000</f>
        <v>1.486428099</v>
      </c>
      <c r="D12" s="184">
        <f>D4/'Ops Storage'!E15*8/86400*1000</f>
        <v>1.486428099</v>
      </c>
      <c r="E12" s="184">
        <f>E4/'Ops Storage'!F15*8/86400*1000</f>
        <v>1.486428099</v>
      </c>
      <c r="F12" s="184">
        <f>F4/'Ops Storage'!G15*8/86400*1000</f>
        <v>1.486428099</v>
      </c>
      <c r="G12" s="184">
        <f>G4/'Ops Storage'!H15*8/86400*1000</f>
        <v>1.486428099</v>
      </c>
      <c r="H12" s="184">
        <f>H4/'Ops Storage'!I15*8/86400*1000</f>
        <v>1.486428099</v>
      </c>
      <c r="I12" s="184">
        <f>I4/'Ops Storage'!J15*8/86400*1000</f>
        <v>1.486428099</v>
      </c>
      <c r="J12" s="184">
        <f>J4/'Ops Storage'!K15*8/86400*1000</f>
        <v>1.486428099</v>
      </c>
      <c r="K12" s="184">
        <f>K4/'Ops Storage'!L15*8/86400*1000</f>
        <v>1.486428099</v>
      </c>
      <c r="L12" s="2"/>
      <c r="M12" s="2" t="s">
        <v>677</v>
      </c>
      <c r="N12" s="134" t="s">
        <v>684</v>
      </c>
    </row>
    <row r="13">
      <c r="A13" s="2" t="s">
        <v>685</v>
      </c>
      <c r="B13" s="184">
        <f t="shared" ref="B13:K13" si="2">B8*0.25</f>
        <v>1.241802833</v>
      </c>
      <c r="C13" s="184">
        <f t="shared" si="2"/>
        <v>2.483605666</v>
      </c>
      <c r="D13" s="184">
        <f t="shared" si="2"/>
        <v>3.725408499</v>
      </c>
      <c r="E13" s="184">
        <f t="shared" si="2"/>
        <v>4.967211332</v>
      </c>
      <c r="F13" s="184">
        <f t="shared" si="2"/>
        <v>6.209014165</v>
      </c>
      <c r="G13" s="184">
        <f t="shared" si="2"/>
        <v>7.450816998</v>
      </c>
      <c r="H13" s="184">
        <f t="shared" si="2"/>
        <v>8.692619831</v>
      </c>
      <c r="I13" s="184">
        <f t="shared" si="2"/>
        <v>9.934422664</v>
      </c>
      <c r="J13" s="184">
        <f t="shared" si="2"/>
        <v>11.1762255</v>
      </c>
      <c r="K13" s="184">
        <f t="shared" si="2"/>
        <v>12.41802833</v>
      </c>
      <c r="L13" s="2"/>
      <c r="M13" s="2" t="s">
        <v>677</v>
      </c>
      <c r="N13" s="2" t="s">
        <v>686</v>
      </c>
    </row>
    <row r="14">
      <c r="A14" s="2" t="s">
        <v>687</v>
      </c>
      <c r="B14" s="184">
        <f t="shared" ref="B14:K14" si="3">B8*0.25</f>
        <v>1.241802833</v>
      </c>
      <c r="C14" s="184">
        <f t="shared" si="3"/>
        <v>2.483605666</v>
      </c>
      <c r="D14" s="184">
        <f t="shared" si="3"/>
        <v>3.725408499</v>
      </c>
      <c r="E14" s="184">
        <f t="shared" si="3"/>
        <v>4.967211332</v>
      </c>
      <c r="F14" s="184">
        <f t="shared" si="3"/>
        <v>6.209014165</v>
      </c>
      <c r="G14" s="184">
        <f t="shared" si="3"/>
        <v>7.450816998</v>
      </c>
      <c r="H14" s="184">
        <f t="shared" si="3"/>
        <v>8.692619831</v>
      </c>
      <c r="I14" s="184">
        <f t="shared" si="3"/>
        <v>9.934422664</v>
      </c>
      <c r="J14" s="184">
        <f t="shared" si="3"/>
        <v>11.1762255</v>
      </c>
      <c r="K14" s="184">
        <f t="shared" si="3"/>
        <v>12.41802833</v>
      </c>
      <c r="L14" s="2"/>
      <c r="M14" s="2" t="s">
        <v>677</v>
      </c>
      <c r="N14" s="51" t="s">
        <v>688</v>
      </c>
    </row>
    <row r="15">
      <c r="A15" s="2" t="s">
        <v>689</v>
      </c>
      <c r="B15" s="184">
        <f t="shared" ref="B15:K15" si="4">B8*0.75</f>
        <v>3.725408499</v>
      </c>
      <c r="C15" s="184">
        <f t="shared" si="4"/>
        <v>7.450816998</v>
      </c>
      <c r="D15" s="184">
        <f t="shared" si="4"/>
        <v>11.1762255</v>
      </c>
      <c r="E15" s="184">
        <f t="shared" si="4"/>
        <v>14.901634</v>
      </c>
      <c r="F15" s="184">
        <f t="shared" si="4"/>
        <v>18.62704249</v>
      </c>
      <c r="G15" s="184">
        <f t="shared" si="4"/>
        <v>22.35245099</v>
      </c>
      <c r="H15" s="184">
        <f t="shared" si="4"/>
        <v>26.07785949</v>
      </c>
      <c r="I15" s="184">
        <f t="shared" si="4"/>
        <v>29.80326799</v>
      </c>
      <c r="J15" s="184">
        <f t="shared" si="4"/>
        <v>33.52867649</v>
      </c>
      <c r="K15" s="184">
        <f t="shared" si="4"/>
        <v>37.25408499</v>
      </c>
      <c r="L15" s="2"/>
      <c r="M15" s="2" t="s">
        <v>677</v>
      </c>
      <c r="N15" s="2" t="s">
        <v>690</v>
      </c>
    </row>
    <row r="16">
      <c r="A16" s="2" t="s">
        <v>691</v>
      </c>
      <c r="B16" s="184">
        <f t="shared" ref="B16:K16" si="5">B8*0.75</f>
        <v>3.725408499</v>
      </c>
      <c r="C16" s="184">
        <f t="shared" si="5"/>
        <v>7.450816998</v>
      </c>
      <c r="D16" s="184">
        <f t="shared" si="5"/>
        <v>11.1762255</v>
      </c>
      <c r="E16" s="184">
        <f t="shared" si="5"/>
        <v>14.901634</v>
      </c>
      <c r="F16" s="184">
        <f t="shared" si="5"/>
        <v>18.62704249</v>
      </c>
      <c r="G16" s="184">
        <f t="shared" si="5"/>
        <v>22.35245099</v>
      </c>
      <c r="H16" s="184">
        <f t="shared" si="5"/>
        <v>26.07785949</v>
      </c>
      <c r="I16" s="184">
        <f t="shared" si="5"/>
        <v>29.80326799</v>
      </c>
      <c r="J16" s="184">
        <f t="shared" si="5"/>
        <v>33.52867649</v>
      </c>
      <c r="K16" s="184">
        <f t="shared" si="5"/>
        <v>37.25408499</v>
      </c>
      <c r="L16" s="2"/>
      <c r="M16" s="2" t="s">
        <v>677</v>
      </c>
      <c r="N16" s="2" t="s">
        <v>692</v>
      </c>
    </row>
    <row r="17">
      <c r="A17" s="2" t="s">
        <v>693</v>
      </c>
      <c r="B17" s="186">
        <f>0.25*B4/'Ops Storage'!C15*8/86400*1000</f>
        <v>0.3716070248</v>
      </c>
      <c r="C17" s="186">
        <f>0.25*C4/'Ops Storage'!D15*8/86400*1000</f>
        <v>0.3716070248</v>
      </c>
      <c r="D17" s="186">
        <f>0.25*D4/'Ops Storage'!E15*8/86400*1000</f>
        <v>0.3716070248</v>
      </c>
      <c r="E17" s="186">
        <f>0.25*E4/'Ops Storage'!F15*8/86400*1000</f>
        <v>0.3716070248</v>
      </c>
      <c r="F17" s="186">
        <f>0.25*F4/'Ops Storage'!G15*8/86400*1000</f>
        <v>0.3716070248</v>
      </c>
      <c r="G17" s="186">
        <f>0.25*G4/'Ops Storage'!H15*8/86400*1000</f>
        <v>0.3716070248</v>
      </c>
      <c r="H17" s="186">
        <f>0.25*H4/'Ops Storage'!I15*8/86400*1000</f>
        <v>0.3716070248</v>
      </c>
      <c r="I17" s="186">
        <f>0.25*I4/'Ops Storage'!J15*8/86400*1000</f>
        <v>0.3716070248</v>
      </c>
      <c r="J17" s="186">
        <f>0.25*J4/'Ops Storage'!K15*8/86400*1000</f>
        <v>0.3716070248</v>
      </c>
      <c r="K17" s="186">
        <f>0.25*K4/'Ops Storage'!L15*8/86400*1000</f>
        <v>0.3716070248</v>
      </c>
      <c r="L17" s="2"/>
      <c r="M17" s="2" t="s">
        <v>677</v>
      </c>
      <c r="N17" s="2" t="s">
        <v>694</v>
      </c>
    </row>
    <row r="18">
      <c r="A18" s="2" t="s">
        <v>695</v>
      </c>
      <c r="B18" s="185">
        <v>15.0</v>
      </c>
      <c r="C18" s="185">
        <v>15.0</v>
      </c>
      <c r="D18" s="185">
        <v>15.0</v>
      </c>
      <c r="E18" s="185">
        <v>15.0</v>
      </c>
      <c r="F18" s="185">
        <v>15.0</v>
      </c>
      <c r="G18" s="185">
        <v>15.0</v>
      </c>
      <c r="H18" s="185">
        <v>15.0</v>
      </c>
      <c r="I18" s="185">
        <v>15.0</v>
      </c>
      <c r="J18" s="185">
        <v>15.0</v>
      </c>
      <c r="K18" s="185">
        <v>15.0</v>
      </c>
      <c r="L18" s="2"/>
      <c r="M18" s="2" t="s">
        <v>677</v>
      </c>
      <c r="N18" s="2" t="s">
        <v>696</v>
      </c>
    </row>
    <row r="19">
      <c r="A19" s="2" t="s">
        <v>697</v>
      </c>
      <c r="B19" s="185">
        <f t="shared" ref="B19:K19" si="6">0.1*B5*8*1000/$G$1/86400</f>
        <v>1.666666667</v>
      </c>
      <c r="C19" s="185">
        <f t="shared" si="6"/>
        <v>1.666666667</v>
      </c>
      <c r="D19" s="185">
        <f t="shared" si="6"/>
        <v>1.666666667</v>
      </c>
      <c r="E19" s="185">
        <f t="shared" si="6"/>
        <v>1.666666667</v>
      </c>
      <c r="F19" s="185">
        <f t="shared" si="6"/>
        <v>1.666666667</v>
      </c>
      <c r="G19" s="185">
        <f t="shared" si="6"/>
        <v>1.666666667</v>
      </c>
      <c r="H19" s="185">
        <f t="shared" si="6"/>
        <v>1.666666667</v>
      </c>
      <c r="I19" s="185">
        <f t="shared" si="6"/>
        <v>1.666666667</v>
      </c>
      <c r="J19" s="185">
        <f t="shared" si="6"/>
        <v>1.666666667</v>
      </c>
      <c r="K19" s="185">
        <f t="shared" si="6"/>
        <v>1.666666667</v>
      </c>
      <c r="L19" s="2"/>
      <c r="M19" s="2" t="s">
        <v>677</v>
      </c>
      <c r="N19" s="2" t="s">
        <v>698</v>
      </c>
    </row>
    <row r="20">
      <c r="A20" s="2" t="s">
        <v>699</v>
      </c>
      <c r="B20" s="185">
        <f>1*'Ops Storage'!C43*8*1000/$J$1/86400/'Ops Storage'!C27</f>
        <v>3.610662037</v>
      </c>
      <c r="C20" s="185">
        <f>1*'Ops Storage'!D43*8*1000/$J$1/86400/'Ops Storage'!D27</f>
        <v>5.913310185</v>
      </c>
      <c r="D20" s="185">
        <f>1*'Ops Storage'!E43*8*1000/$J$1/86400/'Ops Storage'!E27</f>
        <v>8.248884568</v>
      </c>
      <c r="E20" s="185">
        <f>1*'Ops Storage'!F43*8*1000/$J$1/86400/'Ops Storage'!F27</f>
        <v>10.67706667</v>
      </c>
      <c r="F20" s="185">
        <f>1*'Ops Storage'!G43*8*1000/$J$1/86400/'Ops Storage'!G27</f>
        <v>13.25158642</v>
      </c>
      <c r="G20" s="185">
        <f>1*'Ops Storage'!H43*8*1000/$J$1/86400/'Ops Storage'!H27</f>
        <v>15.92086728</v>
      </c>
      <c r="H20" s="185">
        <f>1*'Ops Storage'!I43*8*1000/$J$1/86400/'Ops Storage'!I27</f>
        <v>18.72336852</v>
      </c>
      <c r="I20" s="185">
        <f>1*'Ops Storage'!J43*8*1000/$J$1/86400/'Ops Storage'!J27</f>
        <v>21.6481713</v>
      </c>
      <c r="J20" s="185">
        <f>1*'Ops Storage'!K43*8*1000/$J$1/86400/'Ops Storage'!K27</f>
        <v>24.65518765</v>
      </c>
      <c r="K20" s="185">
        <f>1*'Ops Storage'!L43*8*1000/$J$1/86400/'Ops Storage'!L27</f>
        <v>27.78770247</v>
      </c>
      <c r="L20" s="2"/>
      <c r="M20" s="2" t="s">
        <v>677</v>
      </c>
      <c r="N20" s="2" t="s">
        <v>700</v>
      </c>
    </row>
    <row r="21">
      <c r="A21" s="2" t="s">
        <v>701</v>
      </c>
      <c r="B21" s="185">
        <f t="shared" ref="B21:K21" si="7">11*150*8*1000/$J$1/86400</f>
        <v>5.092592593</v>
      </c>
      <c r="C21" s="185">
        <f t="shared" si="7"/>
        <v>5.092592593</v>
      </c>
      <c r="D21" s="185">
        <f t="shared" si="7"/>
        <v>5.092592593</v>
      </c>
      <c r="E21" s="185">
        <f t="shared" si="7"/>
        <v>5.092592593</v>
      </c>
      <c r="F21" s="185">
        <f t="shared" si="7"/>
        <v>5.092592593</v>
      </c>
      <c r="G21" s="185">
        <f t="shared" si="7"/>
        <v>5.092592593</v>
      </c>
      <c r="H21" s="185">
        <f t="shared" si="7"/>
        <v>5.092592593</v>
      </c>
      <c r="I21" s="185">
        <f t="shared" si="7"/>
        <v>5.092592593</v>
      </c>
      <c r="J21" s="185">
        <f t="shared" si="7"/>
        <v>5.092592593</v>
      </c>
      <c r="K21" s="185">
        <f t="shared" si="7"/>
        <v>5.092592593</v>
      </c>
      <c r="L21" s="2"/>
      <c r="M21" s="2" t="s">
        <v>677</v>
      </c>
      <c r="N21" s="2" t="s">
        <v>702</v>
      </c>
    </row>
    <row r="22">
      <c r="A22" s="2" t="s">
        <v>703</v>
      </c>
      <c r="B22" s="185">
        <f>0.75*'Ops Storage'!C43*8*1000/$J$1/86400/'Ops Storage'!C27</f>
        <v>2.707996528</v>
      </c>
      <c r="C22" s="185">
        <f>0.75*'Ops Storage'!D43*8*1000/$J$1/86400/'Ops Storage'!D27</f>
        <v>4.434982639</v>
      </c>
      <c r="D22" s="185">
        <f>0.75*'Ops Storage'!E43*8*1000/$J$1/86400/'Ops Storage'!E27</f>
        <v>6.186663426</v>
      </c>
      <c r="E22" s="185">
        <f>0.75*'Ops Storage'!F43*8*1000/$J$1/86400/'Ops Storage'!F27</f>
        <v>8.0078</v>
      </c>
      <c r="F22" s="185">
        <f>0.75*'Ops Storage'!G43*8*1000/$J$1/86400/'Ops Storage'!G27</f>
        <v>9.938689815</v>
      </c>
      <c r="G22" s="185">
        <f>0.75*'Ops Storage'!H43*8*1000/$J$1/86400/'Ops Storage'!H27</f>
        <v>11.94065046</v>
      </c>
      <c r="H22" s="185">
        <f>0.75*'Ops Storage'!I43*8*1000/$J$1/86400/'Ops Storage'!I27</f>
        <v>14.04252639</v>
      </c>
      <c r="I22" s="185">
        <f>0.75*'Ops Storage'!J43*8*1000/$J$1/86400/'Ops Storage'!J27</f>
        <v>16.23612847</v>
      </c>
      <c r="J22" s="185">
        <f>0.75*'Ops Storage'!K43*8*1000/$J$1/86400/'Ops Storage'!K27</f>
        <v>18.49139074</v>
      </c>
      <c r="K22" s="185">
        <f>0.75*'Ops Storage'!L43*8*1000/$J$1/86400/'Ops Storage'!L27</f>
        <v>20.84077685</v>
      </c>
      <c r="L22" s="2"/>
      <c r="M22" s="2" t="s">
        <v>677</v>
      </c>
      <c r="N22" s="2" t="s">
        <v>704</v>
      </c>
    </row>
    <row r="23">
      <c r="L23" s="2"/>
      <c r="M23" s="2" t="s">
        <v>677</v>
      </c>
    </row>
    <row r="24">
      <c r="A24" s="2" t="s">
        <v>705</v>
      </c>
      <c r="B24" s="184">
        <f t="shared" ref="B24:K24" si="8">B5*8*1000/$D$1/86400</f>
        <v>16.66666667</v>
      </c>
      <c r="C24" s="184">
        <f t="shared" si="8"/>
        <v>16.66666667</v>
      </c>
      <c r="D24" s="184">
        <f t="shared" si="8"/>
        <v>16.66666667</v>
      </c>
      <c r="E24" s="184">
        <f t="shared" si="8"/>
        <v>16.66666667</v>
      </c>
      <c r="F24" s="184">
        <f t="shared" si="8"/>
        <v>16.66666667</v>
      </c>
      <c r="G24" s="184">
        <f t="shared" si="8"/>
        <v>16.66666667</v>
      </c>
      <c r="H24" s="184">
        <f t="shared" si="8"/>
        <v>16.66666667</v>
      </c>
      <c r="I24" s="184">
        <f t="shared" si="8"/>
        <v>16.66666667</v>
      </c>
      <c r="J24" s="184">
        <f t="shared" si="8"/>
        <v>16.66666667</v>
      </c>
      <c r="K24" s="184">
        <f t="shared" si="8"/>
        <v>16.66666667</v>
      </c>
      <c r="L24" s="2"/>
      <c r="M24" s="2" t="s">
        <v>677</v>
      </c>
      <c r="N24" s="2" t="s">
        <v>706</v>
      </c>
    </row>
    <row r="25">
      <c r="A25" s="2" t="s">
        <v>707</v>
      </c>
      <c r="B25" s="186">
        <f t="shared" ref="B25:K25" si="9">0.25*B5*8*1000/$D$1/86400</f>
        <v>4.166666667</v>
      </c>
      <c r="C25" s="186">
        <f t="shared" si="9"/>
        <v>4.166666667</v>
      </c>
      <c r="D25" s="186">
        <f t="shared" si="9"/>
        <v>4.166666667</v>
      </c>
      <c r="E25" s="186">
        <f t="shared" si="9"/>
        <v>4.166666667</v>
      </c>
      <c r="F25" s="186">
        <f t="shared" si="9"/>
        <v>4.166666667</v>
      </c>
      <c r="G25" s="186">
        <f t="shared" si="9"/>
        <v>4.166666667</v>
      </c>
      <c r="H25" s="186">
        <f t="shared" si="9"/>
        <v>4.166666667</v>
      </c>
      <c r="I25" s="186">
        <f t="shared" si="9"/>
        <v>4.166666667</v>
      </c>
      <c r="J25" s="186">
        <f t="shared" si="9"/>
        <v>4.166666667</v>
      </c>
      <c r="K25" s="186">
        <f t="shared" si="9"/>
        <v>4.166666667</v>
      </c>
      <c r="L25" s="2"/>
      <c r="M25" s="2" t="s">
        <v>677</v>
      </c>
      <c r="N25" s="2"/>
    </row>
    <row r="26">
      <c r="A26" s="2" t="s">
        <v>708</v>
      </c>
      <c r="B26" s="186">
        <f t="shared" ref="B26:K26" si="10">0.75*B5*8*1000/$D$1/86400</f>
        <v>12.5</v>
      </c>
      <c r="C26" s="186">
        <f t="shared" si="10"/>
        <v>12.5</v>
      </c>
      <c r="D26" s="186">
        <f t="shared" si="10"/>
        <v>12.5</v>
      </c>
      <c r="E26" s="186">
        <f t="shared" si="10"/>
        <v>12.5</v>
      </c>
      <c r="F26" s="186">
        <f t="shared" si="10"/>
        <v>12.5</v>
      </c>
      <c r="G26" s="186">
        <f t="shared" si="10"/>
        <v>12.5</v>
      </c>
      <c r="H26" s="186">
        <f t="shared" si="10"/>
        <v>12.5</v>
      </c>
      <c r="I26" s="186">
        <f t="shared" si="10"/>
        <v>12.5</v>
      </c>
      <c r="J26" s="186">
        <f t="shared" si="10"/>
        <v>12.5</v>
      </c>
      <c r="K26" s="186">
        <f t="shared" si="10"/>
        <v>12.5</v>
      </c>
      <c r="L26" s="2"/>
      <c r="M26" s="2" t="s">
        <v>677</v>
      </c>
      <c r="N26" s="2"/>
    </row>
    <row r="27">
      <c r="A27" s="2" t="s">
        <v>709</v>
      </c>
      <c r="B27" s="186">
        <f t="shared" ref="B27:K27" si="11">0.75*B5*8*1000/$D$1/86400</f>
        <v>12.5</v>
      </c>
      <c r="C27" s="186">
        <f t="shared" si="11"/>
        <v>12.5</v>
      </c>
      <c r="D27" s="186">
        <f t="shared" si="11"/>
        <v>12.5</v>
      </c>
      <c r="E27" s="186">
        <f t="shared" si="11"/>
        <v>12.5</v>
      </c>
      <c r="F27" s="186">
        <f t="shared" si="11"/>
        <v>12.5</v>
      </c>
      <c r="G27" s="186">
        <f t="shared" si="11"/>
        <v>12.5</v>
      </c>
      <c r="H27" s="186">
        <f t="shared" si="11"/>
        <v>12.5</v>
      </c>
      <c r="I27" s="186">
        <f t="shared" si="11"/>
        <v>12.5</v>
      </c>
      <c r="J27" s="186">
        <f t="shared" si="11"/>
        <v>12.5</v>
      </c>
      <c r="K27" s="186">
        <f t="shared" si="11"/>
        <v>12.5</v>
      </c>
      <c r="L27" s="2"/>
      <c r="M27" s="2" t="s">
        <v>677</v>
      </c>
      <c r="N27" s="2"/>
    </row>
    <row r="28">
      <c r="A28" s="2" t="s">
        <v>710</v>
      </c>
      <c r="B28" s="186">
        <f t="shared" ref="B28:K28" si="12">0.25*B5*8*1000/$D$1/86400</f>
        <v>4.166666667</v>
      </c>
      <c r="C28" s="186">
        <f t="shared" si="12"/>
        <v>4.166666667</v>
      </c>
      <c r="D28" s="186">
        <f t="shared" si="12"/>
        <v>4.166666667</v>
      </c>
      <c r="E28" s="186">
        <f t="shared" si="12"/>
        <v>4.166666667</v>
      </c>
      <c r="F28" s="186">
        <f t="shared" si="12"/>
        <v>4.166666667</v>
      </c>
      <c r="G28" s="186">
        <f t="shared" si="12"/>
        <v>4.166666667</v>
      </c>
      <c r="H28" s="186">
        <f t="shared" si="12"/>
        <v>4.166666667</v>
      </c>
      <c r="I28" s="186">
        <f t="shared" si="12"/>
        <v>4.166666667</v>
      </c>
      <c r="J28" s="186">
        <f t="shared" si="12"/>
        <v>4.166666667</v>
      </c>
      <c r="K28" s="186">
        <f t="shared" si="12"/>
        <v>4.166666667</v>
      </c>
      <c r="L28" s="2"/>
      <c r="M28" s="2" t="s">
        <v>677</v>
      </c>
      <c r="N28" s="2"/>
    </row>
    <row r="29">
      <c r="B29" s="187"/>
      <c r="C29" s="187"/>
      <c r="D29" s="187"/>
      <c r="E29" s="187"/>
      <c r="F29" s="187"/>
      <c r="G29" s="187"/>
      <c r="H29" s="187"/>
      <c r="I29" s="187"/>
      <c r="J29" s="187"/>
      <c r="K29" s="187"/>
      <c r="L29" s="2"/>
    </row>
    <row r="30">
      <c r="A30" s="2" t="s">
        <v>711</v>
      </c>
      <c r="B30" s="184">
        <f t="shared" ref="B30:K30" si="13">B12+B13</f>
        <v>2.728230932</v>
      </c>
      <c r="C30" s="184">
        <f t="shared" si="13"/>
        <v>3.970033765</v>
      </c>
      <c r="D30" s="184">
        <f t="shared" si="13"/>
        <v>5.211836598</v>
      </c>
      <c r="E30" s="184">
        <f t="shared" si="13"/>
        <v>6.453639431</v>
      </c>
      <c r="F30" s="184">
        <f t="shared" si="13"/>
        <v>7.695442264</v>
      </c>
      <c r="G30" s="184">
        <f t="shared" si="13"/>
        <v>8.937245097</v>
      </c>
      <c r="H30" s="184">
        <f t="shared" si="13"/>
        <v>10.17904793</v>
      </c>
      <c r="I30" s="184">
        <f t="shared" si="13"/>
        <v>11.42085076</v>
      </c>
      <c r="J30" s="184">
        <f t="shared" si="13"/>
        <v>12.6626536</v>
      </c>
      <c r="K30" s="184">
        <f t="shared" si="13"/>
        <v>13.90445643</v>
      </c>
      <c r="L30" s="2"/>
      <c r="M30" s="2" t="s">
        <v>677</v>
      </c>
    </row>
    <row r="31">
      <c r="A31" s="2" t="s">
        <v>712</v>
      </c>
      <c r="B31" s="186">
        <f t="shared" ref="B31:K31" si="14">B16</f>
        <v>3.725408499</v>
      </c>
      <c r="C31" s="186">
        <f t="shared" si="14"/>
        <v>7.450816998</v>
      </c>
      <c r="D31" s="186">
        <f t="shared" si="14"/>
        <v>11.1762255</v>
      </c>
      <c r="E31" s="186">
        <f t="shared" si="14"/>
        <v>14.901634</v>
      </c>
      <c r="F31" s="186">
        <f t="shared" si="14"/>
        <v>18.62704249</v>
      </c>
      <c r="G31" s="186">
        <f t="shared" si="14"/>
        <v>22.35245099</v>
      </c>
      <c r="H31" s="186">
        <f t="shared" si="14"/>
        <v>26.07785949</v>
      </c>
      <c r="I31" s="186">
        <f t="shared" si="14"/>
        <v>29.80326799</v>
      </c>
      <c r="J31" s="186">
        <f t="shared" si="14"/>
        <v>33.52867649</v>
      </c>
      <c r="K31" s="186">
        <f t="shared" si="14"/>
        <v>37.25408499</v>
      </c>
      <c r="L31" s="2"/>
      <c r="M31" s="2" t="s">
        <v>677</v>
      </c>
    </row>
    <row r="32">
      <c r="A32" s="2" t="s">
        <v>713</v>
      </c>
      <c r="B32" s="184">
        <f t="shared" ref="B32:K32" si="15">B10+B11+max(B16,B27)</f>
        <v>30.4877497</v>
      </c>
      <c r="C32" s="184">
        <f t="shared" si="15"/>
        <v>30.4877497</v>
      </c>
      <c r="D32" s="184">
        <f t="shared" si="15"/>
        <v>30.4877497</v>
      </c>
      <c r="E32" s="184">
        <f t="shared" si="15"/>
        <v>32.8893837</v>
      </c>
      <c r="F32" s="184">
        <f t="shared" si="15"/>
        <v>36.6147922</v>
      </c>
      <c r="G32" s="184">
        <f t="shared" si="15"/>
        <v>40.3402007</v>
      </c>
      <c r="H32" s="184">
        <f t="shared" si="15"/>
        <v>44.0656092</v>
      </c>
      <c r="I32" s="184">
        <f t="shared" si="15"/>
        <v>47.79101769</v>
      </c>
      <c r="J32" s="184">
        <f t="shared" si="15"/>
        <v>51.51642619</v>
      </c>
      <c r="K32" s="184">
        <f t="shared" si="15"/>
        <v>55.24183469</v>
      </c>
      <c r="L32" s="2"/>
      <c r="M32" s="2" t="s">
        <v>677</v>
      </c>
      <c r="N32" s="2" t="s">
        <v>714</v>
      </c>
    </row>
    <row r="33">
      <c r="A33" s="2" t="s">
        <v>715</v>
      </c>
      <c r="B33" s="184">
        <f t="shared" ref="B33:K33" si="16">B12+max(B13,B25+B20)+B18+B19</f>
        <v>25.93042347</v>
      </c>
      <c r="C33" s="184">
        <f t="shared" si="16"/>
        <v>28.23307162</v>
      </c>
      <c r="D33" s="184">
        <f t="shared" si="16"/>
        <v>30.568646</v>
      </c>
      <c r="E33" s="184">
        <f t="shared" si="16"/>
        <v>32.9968281</v>
      </c>
      <c r="F33" s="184">
        <f t="shared" si="16"/>
        <v>35.57134785</v>
      </c>
      <c r="G33" s="184">
        <f t="shared" si="16"/>
        <v>38.24062872</v>
      </c>
      <c r="H33" s="184">
        <f t="shared" si="16"/>
        <v>41.04312995</v>
      </c>
      <c r="I33" s="184">
        <f t="shared" si="16"/>
        <v>43.96793273</v>
      </c>
      <c r="J33" s="184">
        <f t="shared" si="16"/>
        <v>46.97494909</v>
      </c>
      <c r="K33" s="184">
        <f t="shared" si="16"/>
        <v>50.1074639</v>
      </c>
      <c r="L33" s="2"/>
      <c r="M33" s="2" t="s">
        <v>677</v>
      </c>
      <c r="N33" s="2" t="s">
        <v>716</v>
      </c>
    </row>
    <row r="34">
      <c r="A34" s="2" t="s">
        <v>717</v>
      </c>
      <c r="B34" s="184">
        <f t="shared" ref="B34:K34" si="17">B12+max(B13+B14,B25+B28)</f>
        <v>9.819761432</v>
      </c>
      <c r="C34" s="184">
        <f t="shared" si="17"/>
        <v>9.819761432</v>
      </c>
      <c r="D34" s="184">
        <f t="shared" si="17"/>
        <v>9.819761432</v>
      </c>
      <c r="E34" s="184">
        <f t="shared" si="17"/>
        <v>11.42085076</v>
      </c>
      <c r="F34" s="184">
        <f t="shared" si="17"/>
        <v>13.90445643</v>
      </c>
      <c r="G34" s="184">
        <f t="shared" si="17"/>
        <v>16.38806209</v>
      </c>
      <c r="H34" s="184">
        <f t="shared" si="17"/>
        <v>18.87166776</v>
      </c>
      <c r="I34" s="184">
        <f t="shared" si="17"/>
        <v>21.35527343</v>
      </c>
      <c r="J34" s="184">
        <f t="shared" si="17"/>
        <v>23.83887909</v>
      </c>
      <c r="K34" s="184">
        <f t="shared" si="17"/>
        <v>26.32248476</v>
      </c>
      <c r="L34" s="2"/>
      <c r="M34" s="2" t="s">
        <v>677</v>
      </c>
      <c r="N34" s="2" t="s">
        <v>718</v>
      </c>
    </row>
    <row r="35">
      <c r="A35" s="2" t="s">
        <v>719</v>
      </c>
      <c r="B35" s="184">
        <f t="shared" ref="B35:K35" si="18">max(B15+B16,B26+B27+B21+B22)+B17</f>
        <v>33.17219615</v>
      </c>
      <c r="C35" s="184">
        <f t="shared" si="18"/>
        <v>34.89918226</v>
      </c>
      <c r="D35" s="184">
        <f t="shared" si="18"/>
        <v>36.65086304</v>
      </c>
      <c r="E35" s="184">
        <f t="shared" si="18"/>
        <v>38.47199962</v>
      </c>
      <c r="F35" s="184">
        <f t="shared" si="18"/>
        <v>40.40288943</v>
      </c>
      <c r="G35" s="184">
        <f t="shared" si="18"/>
        <v>45.07650901</v>
      </c>
      <c r="H35" s="184">
        <f t="shared" si="18"/>
        <v>52.52732601</v>
      </c>
      <c r="I35" s="184">
        <f t="shared" si="18"/>
        <v>59.97814301</v>
      </c>
      <c r="J35" s="184">
        <f t="shared" si="18"/>
        <v>67.42896</v>
      </c>
      <c r="K35" s="184">
        <f t="shared" si="18"/>
        <v>74.879777</v>
      </c>
      <c r="L35" s="2"/>
      <c r="M35" s="2" t="s">
        <v>677</v>
      </c>
      <c r="N35" s="2" t="s">
        <v>720</v>
      </c>
    </row>
    <row r="36">
      <c r="A36" s="2" t="s">
        <v>721</v>
      </c>
      <c r="B36" s="186">
        <f t="shared" ref="B36:K36" si="19">B17+max(B15,B26+B22)</f>
        <v>15.57960355</v>
      </c>
      <c r="C36" s="186">
        <f t="shared" si="19"/>
        <v>17.30658966</v>
      </c>
      <c r="D36" s="186">
        <f t="shared" si="19"/>
        <v>19.05827045</v>
      </c>
      <c r="E36" s="186">
        <f t="shared" si="19"/>
        <v>20.87940702</v>
      </c>
      <c r="F36" s="186">
        <f t="shared" si="19"/>
        <v>22.81029684</v>
      </c>
      <c r="G36" s="186">
        <f t="shared" si="19"/>
        <v>24.81225749</v>
      </c>
      <c r="H36" s="186">
        <f t="shared" si="19"/>
        <v>26.91413341</v>
      </c>
      <c r="I36" s="186">
        <f t="shared" si="19"/>
        <v>30.17487502</v>
      </c>
      <c r="J36" s="186">
        <f t="shared" si="19"/>
        <v>33.90028351</v>
      </c>
      <c r="K36" s="186">
        <f t="shared" si="19"/>
        <v>37.62569201</v>
      </c>
      <c r="M36" s="2" t="s">
        <v>677</v>
      </c>
    </row>
    <row r="37">
      <c r="A37" s="2" t="s">
        <v>722</v>
      </c>
      <c r="B37" s="186">
        <f t="shared" ref="B37:K37" si="20">max(B14,B28)</f>
        <v>4.166666667</v>
      </c>
      <c r="C37" s="186">
        <f t="shared" si="20"/>
        <v>4.166666667</v>
      </c>
      <c r="D37" s="186">
        <f t="shared" si="20"/>
        <v>4.166666667</v>
      </c>
      <c r="E37" s="186">
        <f t="shared" si="20"/>
        <v>4.967211332</v>
      </c>
      <c r="F37" s="186">
        <f t="shared" si="20"/>
        <v>6.209014165</v>
      </c>
      <c r="G37" s="186">
        <f t="shared" si="20"/>
        <v>7.450816998</v>
      </c>
      <c r="H37" s="186">
        <f t="shared" si="20"/>
        <v>8.692619831</v>
      </c>
      <c r="I37" s="186">
        <f t="shared" si="20"/>
        <v>9.934422664</v>
      </c>
      <c r="J37" s="186">
        <f t="shared" si="20"/>
        <v>11.1762255</v>
      </c>
      <c r="K37" s="186">
        <f t="shared" si="20"/>
        <v>12.41802833</v>
      </c>
      <c r="M37" s="2" t="s">
        <v>677</v>
      </c>
    </row>
    <row r="39">
      <c r="N39" s="55" t="s">
        <v>723</v>
      </c>
    </row>
    <row r="42">
      <c r="N42" s="2" t="s">
        <v>724</v>
      </c>
    </row>
  </sheetData>
  <drawing r:id="rId1"/>
</worksheet>
</file>