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Inputs" sheetId="1" state="visible" r:id="rId3"/>
    <sheet name="USDF Pricing Foreca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<sst xmlns="http://schemas.openxmlformats.org/spreadsheetml/2006/main" count="186" uniqueCount="143">
  <si>
    <t xml:space="preserve">Rubin USDF Model 2026 — Condensed Pricing — Cost Inputs</t>
  </si>
  <si>
    <t xml:space="preserve">Blue = input (edit here) · Yellow = key assumption · The forecast tab recalculates from column B.</t>
  </si>
  <si>
    <t xml:space="preserve">SIZING INPUTS (from condensed model)</t>
  </si>
  <si>
    <t xml:space="preserve">Input data per survey year</t>
  </si>
  <si>
    <t xml:space="preserve">TB</t>
  </si>
  <si>
    <t xml:space="preserve">nights × visits × image × compression</t>
  </si>
  <si>
    <t xml:space="preserve">DRP core-hours per input TB</t>
  </si>
  <si>
    <t xml:space="preserve">ch/TB</t>
  </si>
  <si>
    <t xml:space="preserve">DR1 measured basis</t>
  </si>
  <si>
    <t xml:space="preserve">Developer/pilot load</t>
  </si>
  <si>
    <t xml:space="preserve">ch/yr</t>
  </si>
  <si>
    <t xml:space="preserve">55 node-days/yr × 120 × 24</t>
  </si>
  <si>
    <t xml:space="preserve">Idle / inter-stage multiplier</t>
  </si>
  <si>
    <t xml:space="preserve">×</t>
  </si>
  <si>
    <t xml:space="preserve">placeholder 1.3–1.5</t>
  </si>
  <si>
    <t xml:space="preserve">RSP extra fraction</t>
  </si>
  <si>
    <t xml:space="preserve">fraction</t>
  </si>
  <si>
    <t xml:space="preserve">USDF-only</t>
  </si>
  <si>
    <t xml:space="preserve">Processing window</t>
  </si>
  <si>
    <t xml:space="preserve">days</t>
  </si>
  <si>
    <t xml:space="preserve">Milano-equivalent cores per Torino node</t>
  </si>
  <si>
    <t xml:space="preserve">cores</t>
  </si>
  <si>
    <t xml:space="preserve">120 cores × 2.0 speedup</t>
  </si>
  <si>
    <t xml:space="preserve">Fleet capacity today (Milano-equivalent)</t>
  </si>
  <si>
    <t xml:space="preserve">(110 + 35×2) × 120</t>
  </si>
  <si>
    <t xml:space="preserve">Batch fleet nodes today</t>
  </si>
  <si>
    <t xml:space="preserve">nodes</t>
  </si>
  <si>
    <t xml:space="preserve">110 Milano + 35 Torino</t>
  </si>
  <si>
    <t xml:space="preserve">DP2 actual compute</t>
  </si>
  <si>
    <t xml:space="preserve">core-hrs</t>
  </si>
  <si>
    <t xml:space="preserve">970 node-days on Milano</t>
  </si>
  <si>
    <t xml:space="preserve">DP2 actual output</t>
  </si>
  <si>
    <t xml:space="preserve">DR-era output per survey-year</t>
  </si>
  <si>
    <t xml:space="preserve">campaign total, compressed</t>
  </si>
  <si>
    <t xml:space="preserve">Release products per survey-year</t>
  </si>
  <si>
    <t xml:space="preserve">Scratch fraction</t>
  </si>
  <si>
    <t xml:space="preserve">placeholder</t>
  </si>
  <si>
    <t xml:space="preserve">Installed disk today</t>
  </si>
  <si>
    <t xml:space="preserve">Qserv nodes deployed</t>
  </si>
  <si>
    <t xml:space="preserve">K8s nodes deployed</t>
  </si>
  <si>
    <t xml:space="preserve">Compute lifetime</t>
  </si>
  <si>
    <t xml:space="preserve">years</t>
  </si>
  <si>
    <t xml:space="preserve">UNIT COSTS — 2026 HW Initial Capacity Capture (Aug 2026)</t>
  </si>
  <si>
    <t xml:space="preserve">Torino batch node (768 GB RAM)</t>
  </si>
  <si>
    <t xml:space="preserve">$/node</t>
  </si>
  <si>
    <t xml:space="preserve">current quote; default for future batch purchases</t>
  </si>
  <si>
    <t xml:space="preserve">Torino batch node (384 GB RAM)</t>
  </si>
  <si>
    <t xml:space="preserve">reference only</t>
  </si>
  <si>
    <t xml:space="preserve">K8s / Qserv-class node (EPYC 7543P)</t>
  </si>
  <si>
    <t xml:space="preserve">used for K8s and Qserv purchases</t>
  </si>
  <si>
    <t xml:space="preserve">Ceph usable disk</t>
  </si>
  <si>
    <t xml:space="preserve">$/TB</t>
  </si>
  <si>
    <t xml:space="preserve">JBOD $203,320 / 865 usable TB</t>
  </si>
  <si>
    <t xml:space="preserve">Tape / archive</t>
  </si>
  <si>
    <t xml:space="preserve">archive &amp; backup estimate</t>
  </si>
  <si>
    <t xml:space="preserve">Hosting per node per year</t>
  </si>
  <si>
    <t xml:space="preserve">$/node-yr</t>
  </si>
  <si>
    <t xml:space="preserve">prior agreement — not re-quoted in 2026 capture</t>
  </si>
  <si>
    <t xml:space="preserve">Overhead on hardware</t>
  </si>
  <si>
    <t xml:space="preserve">%</t>
  </si>
  <si>
    <t xml:space="preserve">Overhead fixed</t>
  </si>
  <si>
    <t xml:space="preserve">$/yr</t>
  </si>
  <si>
    <t xml:space="preserve">Annual price change</t>
  </si>
  <si>
    <t xml:space="preserve">%/yr</t>
  </si>
  <si>
    <t xml:space="preserve">flat by default; edit to model price falls/rises</t>
  </si>
  <si>
    <t xml:space="preserve">REFRESH &amp; GROWTH ASSUMPTIONS</t>
  </si>
  <si>
    <t xml:space="preserve">Batch base-fleet rolling refresh</t>
  </si>
  <si>
    <t xml:space="preserve">nodes/yr</t>
  </si>
  <si>
    <t xml:space="preserve">145 nodes / 3-yr lifetime, from FY2027</t>
  </si>
  <si>
    <t xml:space="preserve">Qserv rolling refresh</t>
  </si>
  <si>
    <t xml:space="preserve">92 nodes / 3-yr lifetime, from FY2027</t>
  </si>
  <si>
    <t xml:space="preserve">K8s purchases per year (FY2027+)</t>
  </si>
  <si>
    <t xml:space="preserve">5% growth + 1/3 rolling refresh of 75-node base</t>
  </si>
  <si>
    <t xml:space="preserve">ASSUMPTIONS (stated):</t>
  </si>
  <si>
    <t xml:space="preserve">1. FY2026 column uses the ACTUAL Rubin USDF requests from the 2026 HW Capacity Capture (0 batch nodes; +24 K8s = $740,784; +10,082 TB Ceph = $2,369,794; +5,000 TB archive = $43,125; deadline 2026-10-01). FY2027+ are model-driven.</t>
  </si>
  <si>
    <t xml:space="preserve">2. Future batch purchases are Torino 768 GB at $89,355; each adds 240 Milano-equivalent cores (2.0× per-core speedup, measured on DP2-era tasks).</t>
  </si>
  <si>
    <t xml:space="preserve">3. Growth purchases trigger when Milano-equivalent peak demand exceeds fleet capacity (21,600 cores today); purchased nodes are re-bought after the 3-year lifetime.</t>
  </si>
  <si>
    <t xml:space="preserve">4. Base-fleet and Qserv refresh are modeled as rolling one-third per year from FY2027 (the FY2026 capture contains no batch/Qserv refresh request). The main model's Hardware Refresh tab carries the exact PO-cohort schedule.</t>
  </si>
  <si>
    <t xml:space="preserve">5. Disk need per FY = current campaign output × (1 + scratch) + previous campaign output (2-year retention window). Purchases cover the deficit vs installed + prior purchases. This is total-bytes-written based; the true in-campaign high watermark is unmeasured and likely lower (intermediates deletable mid-run).</t>
  </si>
  <si>
    <t xml:space="preserve">6. Tape/archive added per FY = raw survey data (~798 TB/yr) + release products archived.</t>
  </si>
  <si>
    <t xml:space="preserve">7. Qserv nodes priced at the K8s-class node cost ($30,866) — same EPYC 7543P / 256 GB hardware class; node counts from the condensed workbook's Qserv projection (3-release window, drive-density ramp).</t>
  </si>
  <si>
    <t xml:space="preserve">8. Hosting ($566/node-yr) and overhead (14% + $150k) are prior-agreement values not re-quoted in the 2026 capture — verify before external use.</t>
  </si>
  <si>
    <t xml:space="preserve">9. Prices held flat (0%/yr) by default; edit B32 to apply annual price change.</t>
  </si>
  <si>
    <t xml:space="preserve">USDF Pricing Forecast — everything runs at USDF (partner facility prices unknown)</t>
  </si>
  <si>
    <t xml:space="preserve">Metric</t>
  </si>
  <si>
    <t xml:space="preserve">Unit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</si>
  <si>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</si>
  <si>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</si>
  <si>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</si>
  <si>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</si>
  <si>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</si>
  <si>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</si>
  <si>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</si>
  <si>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</si>
  <si>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</si>
  <si>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</si>
  <si>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10-yr Total</t>
  </si>
  <si>
    <t xml:space="preserve">DP2 (actual)</t>
  </si>
  <si>
    <t xml:space="preserve">DR1</t>
  </si>
  <si>
    <t xml:space="preserve">DR2</t>
  </si>
  <si>
    <t xml:space="preserve">DR3</t>
  </si>
  <si>
    <t xml:space="preserve">DR4</t>
  </si>
  <si>
    <t xml:space="preserve">DR5</t>
  </si>
  <si>
    <t xml:space="preserve">DR6</t>
  </si>
  <si>
    <t xml:space="preserve">DR7</t>
  </si>
  <si>
    <t xml:space="preserve">DR8</t>
  </si>
  <si>
    <t xml:space="preserve">DR9</t>
  </si>
  <si>
    <t xml:space="preserve">DEMAND (from sizing model; FY2026 = DP2 actuals)</t>
  </si>
  <si>
    <t xml:space="preserve">Survey years of input processed</t>
  </si>
  <si>
    <t xml:space="preserve">DRP core-hours</t>
  </si>
  <si>
    <t xml:space="preserve">Peak concurrent cores (Milano-eq demand)</t>
  </si>
  <si>
    <t xml:space="preserve">BATCH COMPUTE PURCHASES</t>
  </si>
  <si>
    <t xml:space="preserve">Cumulative Torino needed beyond fleet</t>
  </si>
  <si>
    <t xml:space="preserve">Growth purchases this FY</t>
  </si>
  <si>
    <t xml:space="preserve">Base-fleet rolling refresh</t>
  </si>
  <si>
    <t xml:space="preserve">Re-refresh of growth purchases (3-yr)</t>
  </si>
  <si>
    <t xml:space="preserve">Batch nodes purchased</t>
  </si>
  <si>
    <t xml:space="preserve">Batch compute cost</t>
  </si>
  <si>
    <t xml:space="preserve">$</t>
  </si>
  <si>
    <t xml:space="preserve">DISK &amp; TAPE PURCHASES</t>
  </si>
  <si>
    <t xml:space="preserve">Campaign output this FY</t>
  </si>
  <si>
    <t xml:space="preserve">Disk need (output × (1+scratch) + prior output)</t>
  </si>
  <si>
    <t xml:space="preserve">Disk installed + purchased to date</t>
  </si>
  <si>
    <t xml:space="preserve">Disk purchased this FY</t>
  </si>
  <si>
    <t xml:space="preserve">Disk cost</t>
  </si>
  <si>
    <t xml:space="preserve">Tape/archive added</t>
  </si>
  <si>
    <t xml:space="preserve">Tape cost</t>
  </si>
  <si>
    <t xml:space="preserve">K8S &amp; QSERV PURCHASES</t>
  </si>
  <si>
    <t xml:space="preserve">K8s nodes purchased</t>
  </si>
  <si>
    <t xml:space="preserve">K8s cost</t>
  </si>
  <si>
    <t xml:space="preserve">Qserv nodes needed (3-release window)</t>
  </si>
  <si>
    <t xml:space="preserve">Running max needed</t>
  </si>
  <si>
    <t xml:space="preserve">Qserv growth purchases</t>
  </si>
  <si>
    <t xml:space="preserve">Qserv cost</t>
  </si>
  <si>
    <t xml:space="preserve">HOSTING, OVERHEAD, TOTALS</t>
  </si>
  <si>
    <t xml:space="preserve">Hardware subtotal</t>
  </si>
  <si>
    <t xml:space="preserve">Nodes in service (approx)</t>
  </si>
  <si>
    <t xml:space="preserve">Hosting</t>
  </si>
  <si>
    <t xml:space="preserve">Overhead (14% of hardware + fixed)</t>
  </si>
  <si>
    <t xml:space="preserve">TOTAL annual spend</t>
  </si>
  <si>
    <t xml:space="preserve">$M</t>
  </si>
  <si>
    <t xml:space="preserve">Cumulative spend</t>
  </si>
  <si>
    <t xml:space="preserve">FY2026 = actual 2026 capture requests. From FY2027: growth purchases trigger when Milano-equivalent demand exceeds fleet capacity; disk purchases cover campaign need vs installed+purchased; refresh is rolling 1/3 per year. Assumptions and unit-cost sources on the Cost Inputs tab.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</si>
</sst>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#,##0"/>
    <numFmt numFmtId="167" formatCode="0.00"/>
    <numFmt numFmtId="168" formatCode="0%"/>
    <numFmt numFmtId="169" formatCode="\$#,##0"/>
    <numFmt numFmtId="170" formatCode="0.0%"/>
    <numFmt numFmtId="171" formatCode="\$#,##0.00,,\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/>
      <c r="C3" s="4"/>
      <c r="D3" s="4"/>
    </row>
    <row r="4" customFormat="false" ht="15" hidden="false" customHeight="false" outlineLevel="0" collapsed="false">
      <c r="A4" s="5" t="s">
        <v>3</v>
      </c>
      <c r="B4" s="6" t="n">
        <v>798.25</v>
      </c>
      <c r="C4" s="5" t="s">
        <v>4</v>
      </c>
      <c r="D4" s="7" t="s">
        <v>5</v>
      </c>
    </row>
    <row r="5" customFormat="false" ht="15" hidden="false" customHeight="false" outlineLevel="0" collapsed="false">
      <c r="A5" s="5" t="s">
        <v>6</v>
      </c>
      <c r="B5" s="8" t="n">
        <v>20571</v>
      </c>
      <c r="C5" s="5" t="s">
        <v>7</v>
      </c>
      <c r="D5" s="7" t="s">
        <v>8</v>
      </c>
    </row>
    <row r="6" customFormat="false" ht="15" hidden="false" customHeight="false" outlineLevel="0" collapsed="false">
      <c r="A6" s="5" t="s">
        <v>9</v>
      </c>
      <c r="B6" s="8" t="n">
        <v>158400</v>
      </c>
      <c r="C6" s="5" t="s">
        <v>10</v>
      </c>
      <c r="D6" s="7" t="s">
        <v>11</v>
      </c>
    </row>
    <row r="7" customFormat="false" ht="15" hidden="false" customHeight="false" outlineLevel="0" collapsed="false">
      <c r="A7" s="5" t="s">
        <v>12</v>
      </c>
      <c r="B7" s="9" t="n">
        <v>1.35</v>
      </c>
      <c r="C7" s="5" t="s">
        <v>13</v>
      </c>
      <c r="D7" s="7" t="s">
        <v>14</v>
      </c>
    </row>
    <row r="8" customFormat="false" ht="15" hidden="false" customHeight="false" outlineLevel="0" collapsed="false">
      <c r="A8" s="5" t="s">
        <v>15</v>
      </c>
      <c r="B8" s="10" t="n">
        <v>0.01</v>
      </c>
      <c r="C8" s="5" t="s">
        <v>16</v>
      </c>
      <c r="D8" s="7" t="s">
        <v>17</v>
      </c>
    </row>
    <row r="9" customFormat="false" ht="15" hidden="false" customHeight="false" outlineLevel="0" collapsed="false">
      <c r="A9" s="5" t="s">
        <v>18</v>
      </c>
      <c r="B9" s="8" t="n">
        <v>200</v>
      </c>
      <c r="C9" s="5" t="s">
        <v>19</v>
      </c>
      <c r="D9" s="7"/>
    </row>
    <row r="10" customFormat="false" ht="15" hidden="false" customHeight="false" outlineLevel="0" collapsed="false">
      <c r="A10" s="5" t="s">
        <v>20</v>
      </c>
      <c r="B10" s="8" t="n">
        <v>240</v>
      </c>
      <c r="C10" s="5" t="s">
        <v>21</v>
      </c>
      <c r="D10" s="7" t="s">
        <v>22</v>
      </c>
    </row>
    <row r="11" customFormat="false" ht="15" hidden="false" customHeight="false" outlineLevel="0" collapsed="false">
      <c r="A11" s="5" t="s">
        <v>23</v>
      </c>
      <c r="B11" s="8" t="n">
        <v>21600</v>
      </c>
      <c r="C11" s="5" t="s">
        <v>21</v>
      </c>
      <c r="D11" s="7" t="s">
        <v>24</v>
      </c>
    </row>
    <row r="12" customFormat="false" ht="15" hidden="false" customHeight="false" outlineLevel="0" collapsed="false">
      <c r="A12" s="5" t="s">
        <v>25</v>
      </c>
      <c r="B12" s="8" t="n">
        <v>145</v>
      </c>
      <c r="C12" s="5" t="s">
        <v>26</v>
      </c>
      <c r="D12" s="7" t="s">
        <v>27</v>
      </c>
    </row>
    <row r="13" customFormat="false" ht="15" hidden="false" customHeight="false" outlineLevel="0" collapsed="false">
      <c r="A13" s="5" t="s">
        <v>28</v>
      </c>
      <c r="B13" s="8" t="n">
        <v>2793600</v>
      </c>
      <c r="C13" s="5" t="s">
        <v>29</v>
      </c>
      <c r="D13" s="7" t="s">
        <v>30</v>
      </c>
    </row>
    <row r="14" customFormat="false" ht="15" hidden="false" customHeight="false" outlineLevel="0" collapsed="false">
      <c r="A14" s="5" t="s">
        <v>31</v>
      </c>
      <c r="B14" s="8" t="n">
        <v>7430</v>
      </c>
      <c r="C14" s="5" t="s">
        <v>4</v>
      </c>
      <c r="D14" s="7"/>
    </row>
    <row r="15" customFormat="false" ht="15" hidden="false" customHeight="false" outlineLevel="0" collapsed="false">
      <c r="A15" s="5" t="s">
        <v>32</v>
      </c>
      <c r="B15" s="8" t="n">
        <v>47000</v>
      </c>
      <c r="C15" s="5" t="s">
        <v>4</v>
      </c>
      <c r="D15" s="7" t="s">
        <v>33</v>
      </c>
    </row>
    <row r="16" customFormat="false" ht="15" hidden="false" customHeight="false" outlineLevel="0" collapsed="false">
      <c r="A16" s="5" t="s">
        <v>34</v>
      </c>
      <c r="B16" s="8" t="n">
        <v>1600</v>
      </c>
      <c r="C16" s="5" t="s">
        <v>4</v>
      </c>
      <c r="D16" s="7"/>
    </row>
    <row r="17" customFormat="false" ht="15" hidden="false" customHeight="false" outlineLevel="0" collapsed="false">
      <c r="A17" s="5" t="s">
        <v>35</v>
      </c>
      <c r="B17" s="11" t="n">
        <v>0.35</v>
      </c>
      <c r="C17" s="5" t="s">
        <v>16</v>
      </c>
      <c r="D17" s="7" t="s">
        <v>36</v>
      </c>
    </row>
    <row r="18" customFormat="false" ht="15" hidden="false" customHeight="false" outlineLevel="0" collapsed="false">
      <c r="A18" s="5" t="s">
        <v>37</v>
      </c>
      <c r="B18" s="8" t="n">
        <v>30000</v>
      </c>
      <c r="C18" s="5" t="s">
        <v>4</v>
      </c>
      <c r="D18" s="7"/>
    </row>
    <row r="19" customFormat="false" ht="15" hidden="false" customHeight="false" outlineLevel="0" collapsed="false">
      <c r="A19" s="5" t="s">
        <v>38</v>
      </c>
      <c r="B19" s="8" t="n">
        <v>92</v>
      </c>
      <c r="C19" s="5" t="s">
        <v>26</v>
      </c>
      <c r="D19" s="7"/>
    </row>
    <row r="20" customFormat="false" ht="15" hidden="false" customHeight="false" outlineLevel="0" collapsed="false">
      <c r="A20" s="5" t="s">
        <v>39</v>
      </c>
      <c r="B20" s="8" t="n">
        <v>75</v>
      </c>
      <c r="C20" s="5" t="s">
        <v>26</v>
      </c>
      <c r="D20" s="7"/>
    </row>
    <row r="21" customFormat="false" ht="15" hidden="false" customHeight="false" outlineLevel="0" collapsed="false">
      <c r="A21" s="5" t="s">
        <v>40</v>
      </c>
      <c r="B21" s="8" t="n">
        <v>3</v>
      </c>
      <c r="C21" s="5" t="s">
        <v>41</v>
      </c>
      <c r="D21" s="7"/>
    </row>
    <row r="23" customFormat="false" ht="15" hidden="false" customHeight="false" outlineLevel="0" collapsed="false">
      <c r="A23" s="3" t="s">
        <v>42</v>
      </c>
      <c r="B23" s="4"/>
      <c r="C23" s="4"/>
      <c r="D23" s="4"/>
    </row>
    <row r="24" customFormat="false" ht="15" hidden="false" customHeight="false" outlineLevel="0" collapsed="false">
      <c r="A24" s="5" t="s">
        <v>43</v>
      </c>
      <c r="B24" s="12" t="n">
        <v>89355</v>
      </c>
      <c r="C24" s="5" t="s">
        <v>44</v>
      </c>
      <c r="D24" s="7" t="s">
        <v>45</v>
      </c>
    </row>
    <row r="25" customFormat="false" ht="15" hidden="false" customHeight="false" outlineLevel="0" collapsed="false">
      <c r="A25" s="5" t="s">
        <v>46</v>
      </c>
      <c r="B25" s="13" t="n">
        <v>58765</v>
      </c>
      <c r="C25" s="5" t="s">
        <v>44</v>
      </c>
      <c r="D25" s="7" t="s">
        <v>47</v>
      </c>
    </row>
    <row r="26" customFormat="false" ht="15" hidden="false" customHeight="false" outlineLevel="0" collapsed="false">
      <c r="A26" s="5" t="s">
        <v>48</v>
      </c>
      <c r="B26" s="12" t="n">
        <v>30866</v>
      </c>
      <c r="C26" s="5" t="s">
        <v>44</v>
      </c>
      <c r="D26" s="7" t="s">
        <v>49</v>
      </c>
    </row>
    <row r="27" customFormat="false" ht="15" hidden="false" customHeight="false" outlineLevel="0" collapsed="false">
      <c r="A27" s="5" t="s">
        <v>50</v>
      </c>
      <c r="B27" s="6" t="n">
        <v>235.052</v>
      </c>
      <c r="C27" s="5" t="s">
        <v>51</v>
      </c>
      <c r="D27" s="7" t="s">
        <v>52</v>
      </c>
    </row>
    <row r="28" customFormat="false" ht="15" hidden="false" customHeight="false" outlineLevel="0" collapsed="false">
      <c r="A28" s="5" t="s">
        <v>53</v>
      </c>
      <c r="B28" s="6" t="n">
        <v>8.625</v>
      </c>
      <c r="C28" s="5" t="s">
        <v>51</v>
      </c>
      <c r="D28" s="7" t="s">
        <v>54</v>
      </c>
    </row>
    <row r="29" customFormat="false" ht="15" hidden="false" customHeight="false" outlineLevel="0" collapsed="false">
      <c r="A29" s="5" t="s">
        <v>55</v>
      </c>
      <c r="B29" s="12" t="n">
        <v>566</v>
      </c>
      <c r="C29" s="5" t="s">
        <v>56</v>
      </c>
      <c r="D29" s="7" t="s">
        <v>57</v>
      </c>
    </row>
    <row r="30" customFormat="false" ht="15" hidden="false" customHeight="false" outlineLevel="0" collapsed="false">
      <c r="A30" s="5" t="s">
        <v>58</v>
      </c>
      <c r="B30" s="14" t="n">
        <v>0.14</v>
      </c>
      <c r="C30" s="5" t="s">
        <v>59</v>
      </c>
      <c r="D30" s="7"/>
    </row>
    <row r="31" customFormat="false" ht="15" hidden="false" customHeight="false" outlineLevel="0" collapsed="false">
      <c r="A31" s="5" t="s">
        <v>60</v>
      </c>
      <c r="B31" s="13" t="n">
        <v>150000</v>
      </c>
      <c r="C31" s="5" t="s">
        <v>61</v>
      </c>
      <c r="D31" s="7"/>
    </row>
    <row r="32" customFormat="false" ht="15" hidden="false" customHeight="false" outlineLevel="0" collapsed="false">
      <c r="A32" s="5" t="s">
        <v>62</v>
      </c>
      <c r="B32" s="15" t="n">
        <v>0</v>
      </c>
      <c r="C32" s="5" t="s">
        <v>63</v>
      </c>
      <c r="D32" s="7" t="s">
        <v>64</v>
      </c>
    </row>
    <row r="34" customFormat="false" ht="15" hidden="false" customHeight="false" outlineLevel="0" collapsed="false">
      <c r="A34" s="3" t="s">
        <v>65</v>
      </c>
      <c r="B34" s="4"/>
      <c r="C34" s="4"/>
      <c r="D34" s="4"/>
    </row>
    <row r="35" customFormat="false" ht="15" hidden="false" customHeight="false" outlineLevel="0" collapsed="false">
      <c r="A35" s="5" t="s">
        <v>66</v>
      </c>
      <c r="B35" s="16" t="n">
        <v>48</v>
      </c>
      <c r="C35" s="5" t="s">
        <v>67</v>
      </c>
      <c r="D35" s="7" t="s">
        <v>68</v>
      </c>
    </row>
    <row r="36" customFormat="false" ht="15" hidden="false" customHeight="false" outlineLevel="0" collapsed="false">
      <c r="A36" s="5" t="s">
        <v>69</v>
      </c>
      <c r="B36" s="16" t="n">
        <v>31</v>
      </c>
      <c r="C36" s="5" t="s">
        <v>67</v>
      </c>
      <c r="D36" s="7" t="s">
        <v>70</v>
      </c>
    </row>
    <row r="37" customFormat="false" ht="15" hidden="false" customHeight="false" outlineLevel="0" collapsed="false">
      <c r="A37" s="5" t="s">
        <v>71</v>
      </c>
      <c r="B37" s="16" t="n">
        <v>29</v>
      </c>
      <c r="C37" s="5" t="s">
        <v>67</v>
      </c>
      <c r="D37" s="7" t="s">
        <v>72</v>
      </c>
    </row>
    <row r="39" customFormat="false" ht="13.5" hidden="false" customHeight="true" outlineLevel="0" collapsed="false">
      <c r="A39" s="17" t="s">
        <v>73</v>
      </c>
      <c r="B39" s="17"/>
      <c r="C39" s="17"/>
      <c r="D39" s="17"/>
    </row>
    <row r="40" customFormat="false" ht="25.5" hidden="false" customHeight="true" outlineLevel="0" collapsed="false">
      <c r="A40" s="17" t="s">
        <v>74</v>
      </c>
      <c r="B40" s="17"/>
      <c r="C40" s="17"/>
      <c r="D40" s="17"/>
    </row>
    <row r="41" customFormat="false" ht="25.5" hidden="false" customHeight="true" outlineLevel="0" collapsed="false">
      <c r="A41" s="17" t="s">
        <v>75</v>
      </c>
      <c r="B41" s="17"/>
      <c r="C41" s="17"/>
      <c r="D41" s="17"/>
    </row>
    <row r="42" customFormat="false" ht="25.5" hidden="false" customHeight="true" outlineLevel="0" collapsed="false">
      <c r="A42" s="17" t="s">
        <v>76</v>
      </c>
      <c r="B42" s="17"/>
      <c r="C42" s="17"/>
      <c r="D42" s="17"/>
    </row>
    <row r="43" customFormat="false" ht="25.5" hidden="false" customHeight="true" outlineLevel="0" collapsed="false">
      <c r="A43" s="17" t="s">
        <v>77</v>
      </c>
      <c r="B43" s="17"/>
      <c r="C43" s="17"/>
      <c r="D43" s="17"/>
    </row>
    <row r="44" customFormat="false" ht="25.5" hidden="false" customHeight="true" outlineLevel="0" collapsed="false">
      <c r="A44" s="17" t="s">
        <v>78</v>
      </c>
      <c r="B44" s="17"/>
      <c r="C44" s="17"/>
      <c r="D44" s="17"/>
    </row>
    <row r="45" customFormat="false" ht="13.5" hidden="false" customHeight="true" outlineLevel="0" collapsed="false">
      <c r="A45" s="17" t="s">
        <v>79</v>
      </c>
      <c r="B45" s="17"/>
      <c r="C45" s="17"/>
      <c r="D45" s="17"/>
    </row>
    <row r="46" customFormat="false" ht="25.5" hidden="false" customHeight="true" outlineLevel="0" collapsed="false">
      <c r="A46" s="17" t="s">
        <v>80</v>
      </c>
      <c r="B46" s="17"/>
      <c r="C46" s="17"/>
      <c r="D46" s="17"/>
    </row>
    <row r="47" customFormat="false" ht="25.5" hidden="false" customHeight="true" outlineLevel="0" collapsed="false">
      <c r="A47" s="17" t="s">
        <v>81</v>
      </c>
      <c r="B47" s="17"/>
      <c r="C47" s="17"/>
      <c r="D47" s="17"/>
    </row>
    <row r="48" customFormat="false" ht="13.5" hidden="false" customHeight="true" outlineLevel="0" collapsed="false">
      <c r="A48" s="17" t="s">
        <v>82</v>
      </c>
      <c r="B48" s="17"/>
      <c r="C48" s="17"/>
      <c r="D48" s="17"/>
    </row>
  </sheetData>
  <mergeCells count="10"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12" min="3" style="0" width="13"/>
    <col collapsed="false" customWidth="true" hidden="false" outlineLevel="0" max="13" min="13" style="0" width="14"/>
  </cols>
  <sheetData>
    <row r="1" customFormat="false" ht="16.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18" t="s">
        <v>84</v>
      </c>
      <c r="B2" s="18" t="s">
        <v>85</v>
      </c>
      <c r="C2" s="18" t="s">
        <v>86</v>
      </c>
      <c r="D2" s="18" t="s">
        <v>87</v>
      </c>
      <c r="E2" s="18" t="s">
        <v>88</v>
      </c>
      <c r="F2" s="18" t="s">
        <v>89</v>
      </c>
      <c r="G2" s="18" t="s">
        <v>90</v>
      </c>
      <c r="H2" s="18" t="s">
        <v>91</v>
      </c>
      <c r="I2" s="18" t="s">
        <v>92</v>
      </c>
      <c r="J2" s="18" t="s">
        <v>93</v>
      </c>
      <c r="K2" s="18" t="s">
        <v>94</v>
      </c>
      <c r="L2" s="18" t="s">
        <v>95</v>
      </c>
      <c r="M2" s="18" t="s">
        <v>96</v>
      </c>
    </row>
    <row r="3" customFormat="false" ht="15" hidden="false" customHeight="false" outlineLevel="0" collapsed="false"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5" customFormat="false" ht="15" hidden="false" customHeight="false" outlineLevel="0" collapsed="false">
      <c r="A5" s="3" t="s">
        <v>107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5" hidden="false" customHeight="false" outlineLevel="0" collapsed="false">
      <c r="A6" s="19" t="s">
        <v>108</v>
      </c>
      <c r="B6" s="19" t="s">
        <v>41</v>
      </c>
      <c r="C6" s="20" t="n">
        <f aca="false">30000/210000</f>
        <v>0.142857142857143</v>
      </c>
      <c r="D6" s="20" t="n">
        <v>1</v>
      </c>
      <c r="E6" s="20" t="n">
        <v>2</v>
      </c>
      <c r="F6" s="20" t="n">
        <v>3</v>
      </c>
      <c r="G6" s="20" t="n">
        <v>4</v>
      </c>
      <c r="H6" s="20" t="n">
        <v>5</v>
      </c>
      <c r="I6" s="20" t="n">
        <v>6</v>
      </c>
      <c r="J6" s="20" t="n">
        <v>7</v>
      </c>
      <c r="K6" s="20" t="n">
        <v>8</v>
      </c>
      <c r="L6" s="20" t="n">
        <v>9</v>
      </c>
    </row>
    <row r="7" customFormat="false" ht="15" hidden="false" customHeight="false" outlineLevel="0" collapsed="false">
      <c r="A7" s="19" t="s">
        <v>109</v>
      </c>
      <c r="B7" s="19" t="s">
        <v>29</v>
      </c>
      <c r="C7" s="21" t="n">
        <f aca="false">'Cost Inputs'!$B$13</f>
        <v>2793600</v>
      </c>
      <c r="D7" s="21" t="n">
        <f aca="false">D6*'Cost Inputs'!$B$4*'Cost Inputs'!$B$5+D6*'Cost Inputs'!$B$6</f>
        <v>16579200.75</v>
      </c>
      <c r="E7" s="21" t="n">
        <f aca="false">E6*'Cost Inputs'!$B$4*'Cost Inputs'!$B$5+E6*'Cost Inputs'!$B$6</f>
        <v>33158401.5</v>
      </c>
      <c r="F7" s="21" t="n">
        <f aca="false">F6*'Cost Inputs'!$B$4*'Cost Inputs'!$B$5+F6*'Cost Inputs'!$B$6</f>
        <v>49737602.25</v>
      </c>
      <c r="G7" s="21" t="n">
        <f aca="false">G6*'Cost Inputs'!$B$4*'Cost Inputs'!$B$5+G6*'Cost Inputs'!$B$6</f>
        <v>66316803</v>
      </c>
      <c r="H7" s="21" t="n">
        <f aca="false">H6*'Cost Inputs'!$B$4*'Cost Inputs'!$B$5+H6*'Cost Inputs'!$B$6</f>
        <v>82896003.75</v>
      </c>
      <c r="I7" s="21" t="n">
        <f aca="false">I6*'Cost Inputs'!$B$4*'Cost Inputs'!$B$5+I6*'Cost Inputs'!$B$6</f>
        <v>99475204.5</v>
      </c>
      <c r="J7" s="21" t="n">
        <f aca="false">J6*'Cost Inputs'!$B$4*'Cost Inputs'!$B$5+J6*'Cost Inputs'!$B$6</f>
        <v>116054405.25</v>
      </c>
      <c r="K7" s="21" t="n">
        <f aca="false">K6*'Cost Inputs'!$B$4*'Cost Inputs'!$B$5+K6*'Cost Inputs'!$B$6</f>
        <v>132633606</v>
      </c>
      <c r="L7" s="21" t="n">
        <f aca="false">L6*'Cost Inputs'!$B$4*'Cost Inputs'!$B$5+L6*'Cost Inputs'!$B$6</f>
        <v>149212806.75</v>
      </c>
    </row>
    <row r="8" customFormat="false" ht="15" hidden="false" customHeight="false" outlineLevel="0" collapsed="false">
      <c r="A8" s="19" t="s">
        <v>110</v>
      </c>
      <c r="B8" s="19" t="s">
        <v>21</v>
      </c>
      <c r="C8" s="21" t="n">
        <f aca="false">ROUND(C7/('Cost Inputs'!$B$9*24)*'Cost Inputs'!$B$7*(1+'Cost Inputs'!$B$8),0)</f>
        <v>794</v>
      </c>
      <c r="D8" s="21" t="n">
        <f aca="false">ROUND(D7/('Cost Inputs'!$B$9*24)*'Cost Inputs'!$B$7*(1+'Cost Inputs'!$B$8),0)</f>
        <v>4710</v>
      </c>
      <c r="E8" s="21" t="n">
        <f aca="false">ROUND(E7/('Cost Inputs'!$B$9*24)*'Cost Inputs'!$B$7*(1+'Cost Inputs'!$B$8),0)</f>
        <v>9419</v>
      </c>
      <c r="F8" s="21" t="n">
        <f aca="false">ROUND(F7/('Cost Inputs'!$B$9*24)*'Cost Inputs'!$B$7*(1+'Cost Inputs'!$B$8),0)</f>
        <v>14129</v>
      </c>
      <c r="G8" s="21" t="n">
        <f aca="false">ROUND(G7/('Cost Inputs'!$B$9*24)*'Cost Inputs'!$B$7*(1+'Cost Inputs'!$B$8),0)</f>
        <v>18838</v>
      </c>
      <c r="H8" s="21" t="n">
        <f aca="false">ROUND(H7/('Cost Inputs'!$B$9*24)*'Cost Inputs'!$B$7*(1+'Cost Inputs'!$B$8),0)</f>
        <v>23548</v>
      </c>
      <c r="I8" s="21" t="n">
        <f aca="false">ROUND(I7/('Cost Inputs'!$B$9*24)*'Cost Inputs'!$B$7*(1+'Cost Inputs'!$B$8),0)</f>
        <v>28257</v>
      </c>
      <c r="J8" s="21" t="n">
        <f aca="false">ROUND(J7/('Cost Inputs'!$B$9*24)*'Cost Inputs'!$B$7*(1+'Cost Inputs'!$B$8),0)</f>
        <v>32967</v>
      </c>
      <c r="K8" s="21" t="n">
        <f aca="false">ROUND(K7/('Cost Inputs'!$B$9*24)*'Cost Inputs'!$B$7*(1+'Cost Inputs'!$B$8),0)</f>
        <v>37676</v>
      </c>
      <c r="L8" s="21" t="n">
        <f aca="false">ROUND(L7/('Cost Inputs'!$B$9*24)*'Cost Inputs'!$B$7*(1+'Cost Inputs'!$B$8),0)</f>
        <v>42386</v>
      </c>
    </row>
    <row r="10" customFormat="false" ht="15" hidden="false" customHeight="false" outlineLevel="0" collapsed="false">
      <c r="A10" s="3" t="s">
        <v>111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15" hidden="false" customHeight="false" outlineLevel="0" collapsed="false">
      <c r="A11" s="19" t="s">
        <v>112</v>
      </c>
      <c r="B11" s="19" t="s">
        <v>26</v>
      </c>
      <c r="C11" s="21" t="n">
        <f aca="false">MAX(0,ROUNDUP((C8-'Cost Inputs'!$B$11)/'Cost Inputs'!$B$10,0))</f>
        <v>0</v>
      </c>
      <c r="D11" s="21" t="n">
        <f aca="false">MAX(0,ROUNDUP((D8-'Cost Inputs'!$B$11)/'Cost Inputs'!$B$10,0))</f>
        <v>0</v>
      </c>
      <c r="E11" s="21" t="n">
        <f aca="false">MAX(0,ROUNDUP((E8-'Cost Inputs'!$B$11)/'Cost Inputs'!$B$10,0))</f>
        <v>0</v>
      </c>
      <c r="F11" s="21" t="n">
        <f aca="false">MAX(0,ROUNDUP((F8-'Cost Inputs'!$B$11)/'Cost Inputs'!$B$10,0))</f>
        <v>0</v>
      </c>
      <c r="G11" s="21" t="n">
        <f aca="false">MAX(0,ROUNDUP((G8-'Cost Inputs'!$B$11)/'Cost Inputs'!$B$10,0))</f>
        <v>0</v>
      </c>
      <c r="H11" s="21" t="n">
        <f aca="false">MAX(0,ROUNDUP((H8-'Cost Inputs'!$B$11)/'Cost Inputs'!$B$10,0))</f>
        <v>9</v>
      </c>
      <c r="I11" s="21" t="n">
        <f aca="false">MAX(0,ROUNDUP((I8-'Cost Inputs'!$B$11)/'Cost Inputs'!$B$10,0))</f>
        <v>28</v>
      </c>
      <c r="J11" s="21" t="n">
        <f aca="false">MAX(0,ROUNDUP((J8-'Cost Inputs'!$B$11)/'Cost Inputs'!$B$10,0))</f>
        <v>48</v>
      </c>
      <c r="K11" s="21" t="n">
        <f aca="false">MAX(0,ROUNDUP((K8-'Cost Inputs'!$B$11)/'Cost Inputs'!$B$10,0))</f>
        <v>67</v>
      </c>
      <c r="L11" s="21" t="n">
        <f aca="false">MAX(0,ROUNDUP((L8-'Cost Inputs'!$B$11)/'Cost Inputs'!$B$10,0))</f>
        <v>87</v>
      </c>
    </row>
    <row r="12" customFormat="false" ht="15" hidden="false" customHeight="false" outlineLevel="0" collapsed="false">
      <c r="A12" s="19" t="s">
        <v>113</v>
      </c>
      <c r="B12" s="19" t="s">
        <v>26</v>
      </c>
      <c r="C12" s="21" t="n">
        <f aca="false">C11</f>
        <v>0</v>
      </c>
      <c r="D12" s="21" t="n">
        <f aca="false">D11-C11</f>
        <v>0</v>
      </c>
      <c r="E12" s="21" t="n">
        <f aca="false">E11-D11</f>
        <v>0</v>
      </c>
      <c r="F12" s="21" t="n">
        <f aca="false">F11-E11</f>
        <v>0</v>
      </c>
      <c r="G12" s="21" t="n">
        <f aca="false">G11-F11</f>
        <v>0</v>
      </c>
      <c r="H12" s="21" t="n">
        <f aca="false">H11-G11</f>
        <v>9</v>
      </c>
      <c r="I12" s="21" t="n">
        <f aca="false">I11-H11</f>
        <v>19</v>
      </c>
      <c r="J12" s="21" t="n">
        <f aca="false">J11-I11</f>
        <v>20</v>
      </c>
      <c r="K12" s="21" t="n">
        <f aca="false">K11-J11</f>
        <v>19</v>
      </c>
      <c r="L12" s="21" t="n">
        <f aca="false">L11-K11</f>
        <v>20</v>
      </c>
      <c r="M12" s="22" t="n">
        <f aca="false">SUM(C12:L12)</f>
        <v>87</v>
      </c>
    </row>
    <row r="13" customFormat="false" ht="15" hidden="false" customHeight="false" outlineLevel="0" collapsed="false">
      <c r="A13" s="19" t="s">
        <v>114</v>
      </c>
      <c r="B13" s="19" t="s">
        <v>26</v>
      </c>
      <c r="C13" s="21" t="n">
        <v>0</v>
      </c>
      <c r="D13" s="21" t="n">
        <f aca="false">'Cost Inputs'!$B$35</f>
        <v>48</v>
      </c>
      <c r="E13" s="21" t="n">
        <f aca="false">'Cost Inputs'!$B$35</f>
        <v>48</v>
      </c>
      <c r="F13" s="21" t="n">
        <f aca="false">'Cost Inputs'!$B$35</f>
        <v>48</v>
      </c>
      <c r="G13" s="21" t="n">
        <f aca="false">'Cost Inputs'!$B$35</f>
        <v>48</v>
      </c>
      <c r="H13" s="21" t="n">
        <f aca="false">'Cost Inputs'!$B$35</f>
        <v>48</v>
      </c>
      <c r="I13" s="21" t="n">
        <f aca="false">'Cost Inputs'!$B$35</f>
        <v>48</v>
      </c>
      <c r="J13" s="21" t="n">
        <f aca="false">'Cost Inputs'!$B$35</f>
        <v>48</v>
      </c>
      <c r="K13" s="21" t="n">
        <f aca="false">'Cost Inputs'!$B$35</f>
        <v>48</v>
      </c>
      <c r="L13" s="21" t="n">
        <f aca="false">'Cost Inputs'!$B$35</f>
        <v>48</v>
      </c>
      <c r="M13" s="22" t="n">
        <f aca="false">SUM(C13:L13)</f>
        <v>432</v>
      </c>
    </row>
    <row r="14" customFormat="false" ht="15" hidden="false" customHeight="false" outlineLevel="0" collapsed="false">
      <c r="A14" s="19" t="s">
        <v>115</v>
      </c>
      <c r="B14" s="19" t="s">
        <v>26</v>
      </c>
      <c r="C14" s="21" t="n">
        <v>0</v>
      </c>
      <c r="D14" s="21" t="n">
        <v>0</v>
      </c>
      <c r="E14" s="21" t="n">
        <v>0</v>
      </c>
      <c r="F14" s="21" t="n">
        <f aca="false">C12</f>
        <v>0</v>
      </c>
      <c r="G14" s="21" t="n">
        <f aca="false">D12</f>
        <v>0</v>
      </c>
      <c r="H14" s="21" t="n">
        <f aca="false">E12</f>
        <v>0</v>
      </c>
      <c r="I14" s="21" t="n">
        <f aca="false">F12</f>
        <v>0</v>
      </c>
      <c r="J14" s="21" t="n">
        <f aca="false">G12</f>
        <v>0</v>
      </c>
      <c r="K14" s="21" t="n">
        <f aca="false">H12</f>
        <v>9</v>
      </c>
      <c r="L14" s="21" t="n">
        <f aca="false">I12</f>
        <v>19</v>
      </c>
      <c r="M14" s="22" t="n">
        <f aca="false">SUM(C14:L14)</f>
        <v>28</v>
      </c>
    </row>
    <row r="15" customFormat="false" ht="15" hidden="false" customHeight="false" outlineLevel="0" collapsed="false">
      <c r="A15" s="19" t="s">
        <v>116</v>
      </c>
      <c r="B15" s="19" t="s">
        <v>26</v>
      </c>
      <c r="C15" s="21" t="n">
        <f aca="false">C12+C13+C14</f>
        <v>0</v>
      </c>
      <c r="D15" s="21" t="n">
        <f aca="false">D12+D13+D14</f>
        <v>48</v>
      </c>
      <c r="E15" s="21" t="n">
        <f aca="false">E12+E13+E14</f>
        <v>48</v>
      </c>
      <c r="F15" s="21" t="n">
        <f aca="false">F12+F13+F14</f>
        <v>48</v>
      </c>
      <c r="G15" s="21" t="n">
        <f aca="false">G12+G13+G14</f>
        <v>48</v>
      </c>
      <c r="H15" s="21" t="n">
        <f aca="false">H12+H13+H14</f>
        <v>57</v>
      </c>
      <c r="I15" s="21" t="n">
        <f aca="false">I12+I13+I14</f>
        <v>67</v>
      </c>
      <c r="J15" s="21" t="n">
        <f aca="false">J12+J13+J14</f>
        <v>68</v>
      </c>
      <c r="K15" s="21" t="n">
        <f aca="false">K12+K13+K14</f>
        <v>76</v>
      </c>
      <c r="L15" s="21" t="n">
        <f aca="false">L12+L13+L14</f>
        <v>87</v>
      </c>
      <c r="M15" s="22" t="n">
        <f aca="false">SUM(C15:L15)</f>
        <v>547</v>
      </c>
    </row>
    <row r="16" customFormat="false" ht="15" hidden="false" customHeight="false" outlineLevel="0" collapsed="false">
      <c r="A16" s="19" t="s">
        <v>117</v>
      </c>
      <c r="B16" s="19" t="s">
        <v>118</v>
      </c>
      <c r="C16" s="23" t="n">
        <f aca="false">C15*'Cost Inputs'!$B$24*(1+'Cost Inputs'!$B$32)^(0)</f>
        <v>0</v>
      </c>
      <c r="D16" s="23" t="n">
        <f aca="false">D15*'Cost Inputs'!$B$24*(1+'Cost Inputs'!$B$32)^(1)</f>
        <v>4289040</v>
      </c>
      <c r="E16" s="23" t="n">
        <f aca="false">E15*'Cost Inputs'!$B$24*(1+'Cost Inputs'!$B$32)^(2)</f>
        <v>4289040</v>
      </c>
      <c r="F16" s="23" t="n">
        <f aca="false">F15*'Cost Inputs'!$B$24*(1+'Cost Inputs'!$B$32)^(3)</f>
        <v>4289040</v>
      </c>
      <c r="G16" s="23" t="n">
        <f aca="false">G15*'Cost Inputs'!$B$24*(1+'Cost Inputs'!$B$32)^(4)</f>
        <v>4289040</v>
      </c>
      <c r="H16" s="23" t="n">
        <f aca="false">H15*'Cost Inputs'!$B$24*(1+'Cost Inputs'!$B$32)^(5)</f>
        <v>5093235</v>
      </c>
      <c r="I16" s="23" t="n">
        <f aca="false">I15*'Cost Inputs'!$B$24*(1+'Cost Inputs'!$B$32)^(6)</f>
        <v>5986785</v>
      </c>
      <c r="J16" s="23" t="n">
        <f aca="false">J15*'Cost Inputs'!$B$24*(1+'Cost Inputs'!$B$32)^(7)</f>
        <v>6076140</v>
      </c>
      <c r="K16" s="23" t="n">
        <f aca="false">K15*'Cost Inputs'!$B$24*(1+'Cost Inputs'!$B$32)^(8)</f>
        <v>6790980</v>
      </c>
      <c r="L16" s="23" t="n">
        <f aca="false">L15*'Cost Inputs'!$B$24*(1+'Cost Inputs'!$B$32)^(9)</f>
        <v>7773885</v>
      </c>
      <c r="M16" s="24" t="n">
        <f aca="false">SUM(C16:L16)</f>
        <v>48877185</v>
      </c>
    </row>
    <row r="18" customFormat="false" ht="15" hidden="false" customHeight="false" outlineLevel="0" collapsed="false">
      <c r="A18" s="3" t="s">
        <v>119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15" hidden="false" customHeight="false" outlineLevel="0" collapsed="false">
      <c r="A19" s="19" t="s">
        <v>120</v>
      </c>
      <c r="B19" s="19" t="s">
        <v>4</v>
      </c>
      <c r="C19" s="21" t="n">
        <f aca="false">'Cost Inputs'!$B$14</f>
        <v>7430</v>
      </c>
      <c r="D19" s="21" t="n">
        <f aca="false">D6*'Cost Inputs'!$B$15</f>
        <v>47000</v>
      </c>
      <c r="E19" s="21" t="n">
        <f aca="false">E6*'Cost Inputs'!$B$15</f>
        <v>94000</v>
      </c>
      <c r="F19" s="21" t="n">
        <f aca="false">F6*'Cost Inputs'!$B$15</f>
        <v>141000</v>
      </c>
      <c r="G19" s="21" t="n">
        <f aca="false">G6*'Cost Inputs'!$B$15</f>
        <v>188000</v>
      </c>
      <c r="H19" s="21" t="n">
        <f aca="false">H6*'Cost Inputs'!$B$15</f>
        <v>235000</v>
      </c>
      <c r="I19" s="21" t="n">
        <f aca="false">I6*'Cost Inputs'!$B$15</f>
        <v>282000</v>
      </c>
      <c r="J19" s="21" t="n">
        <f aca="false">J6*'Cost Inputs'!$B$15</f>
        <v>329000</v>
      </c>
      <c r="K19" s="21" t="n">
        <f aca="false">K6*'Cost Inputs'!$B$15</f>
        <v>376000</v>
      </c>
      <c r="L19" s="21" t="n">
        <f aca="false">L6*'Cost Inputs'!$B$15</f>
        <v>423000</v>
      </c>
    </row>
    <row r="20" customFormat="false" ht="15" hidden="false" customHeight="false" outlineLevel="0" collapsed="false">
      <c r="A20" s="19" t="s">
        <v>121</v>
      </c>
      <c r="B20" s="19" t="s">
        <v>4</v>
      </c>
      <c r="C20" s="21" t="n">
        <f aca="false">C19*(1+'Cost Inputs'!$B$17)</f>
        <v>10030.5</v>
      </c>
      <c r="D20" s="21" t="n">
        <f aca="false">D19*(1+'Cost Inputs'!$B$17)+C19</f>
        <v>70880</v>
      </c>
      <c r="E20" s="21" t="n">
        <f aca="false">E19*(1+'Cost Inputs'!$B$17)+D19</f>
        <v>173900</v>
      </c>
      <c r="F20" s="21" t="n">
        <f aca="false">F19*(1+'Cost Inputs'!$B$17)+E19</f>
        <v>284350</v>
      </c>
      <c r="G20" s="21" t="n">
        <f aca="false">G19*(1+'Cost Inputs'!$B$17)+F19</f>
        <v>394800</v>
      </c>
      <c r="H20" s="21" t="n">
        <f aca="false">H19*(1+'Cost Inputs'!$B$17)+G19</f>
        <v>505250</v>
      </c>
      <c r="I20" s="21" t="n">
        <f aca="false">I19*(1+'Cost Inputs'!$B$17)+H19</f>
        <v>615700</v>
      </c>
      <c r="J20" s="21" t="n">
        <f aca="false">J19*(1+'Cost Inputs'!$B$17)+I19</f>
        <v>726150</v>
      </c>
      <c r="K20" s="21" t="n">
        <f aca="false">K19*(1+'Cost Inputs'!$B$17)+J19</f>
        <v>836600</v>
      </c>
      <c r="L20" s="21" t="n">
        <f aca="false">L19*(1+'Cost Inputs'!$B$17)+K19</f>
        <v>947050</v>
      </c>
    </row>
    <row r="21" customFormat="false" ht="15" hidden="false" customHeight="false" outlineLevel="0" collapsed="false">
      <c r="A21" s="19" t="s">
        <v>122</v>
      </c>
      <c r="B21" s="19" t="s">
        <v>4</v>
      </c>
      <c r="C21" s="21" t="n">
        <f aca="false">'Cost Inputs'!$B$18+C22</f>
        <v>40082</v>
      </c>
      <c r="D21" s="21" t="n">
        <f aca="false">C21+D22</f>
        <v>70880</v>
      </c>
      <c r="E21" s="21" t="n">
        <f aca="false">D21+E22</f>
        <v>173900</v>
      </c>
      <c r="F21" s="21" t="n">
        <f aca="false">E21+F22</f>
        <v>284350</v>
      </c>
      <c r="G21" s="21" t="n">
        <f aca="false">F21+G22</f>
        <v>394800</v>
      </c>
      <c r="H21" s="21" t="n">
        <f aca="false">G21+H22</f>
        <v>505250</v>
      </c>
      <c r="I21" s="21" t="n">
        <f aca="false">H21+I22</f>
        <v>615700</v>
      </c>
      <c r="J21" s="21" t="n">
        <f aca="false">I21+J22</f>
        <v>726150</v>
      </c>
      <c r="K21" s="21" t="n">
        <f aca="false">J21+K22</f>
        <v>836600</v>
      </c>
      <c r="L21" s="21" t="n">
        <f aca="false">K21+L22</f>
        <v>947050</v>
      </c>
    </row>
    <row r="22" customFormat="false" ht="15" hidden="false" customHeight="false" outlineLevel="0" collapsed="false">
      <c r="A22" s="19" t="s">
        <v>123</v>
      </c>
      <c r="B22" s="19" t="s">
        <v>4</v>
      </c>
      <c r="C22" s="21" t="n">
        <v>10082</v>
      </c>
      <c r="D22" s="21" t="n">
        <f aca="false">MAX(0,D20-C21)</f>
        <v>30798</v>
      </c>
      <c r="E22" s="21" t="n">
        <f aca="false">MAX(0,E20-D21)</f>
        <v>103020</v>
      </c>
      <c r="F22" s="21" t="n">
        <f aca="false">MAX(0,F20-E21)</f>
        <v>110450</v>
      </c>
      <c r="G22" s="21" t="n">
        <f aca="false">MAX(0,G20-F21)</f>
        <v>110450</v>
      </c>
      <c r="H22" s="21" t="n">
        <f aca="false">MAX(0,H20-G21)</f>
        <v>110450</v>
      </c>
      <c r="I22" s="21" t="n">
        <f aca="false">MAX(0,I20-H21)</f>
        <v>110450</v>
      </c>
      <c r="J22" s="21" t="n">
        <f aca="false">MAX(0,J20-I21)</f>
        <v>110450</v>
      </c>
      <c r="K22" s="21" t="n">
        <f aca="false">MAX(0,K20-J21)</f>
        <v>110450</v>
      </c>
      <c r="L22" s="21" t="n">
        <f aca="false">MAX(0,L20-K21)</f>
        <v>110450</v>
      </c>
      <c r="M22" s="22" t="n">
        <f aca="false">SUM(C22:L22)</f>
        <v>917050</v>
      </c>
    </row>
    <row r="23" customFormat="false" ht="15" hidden="false" customHeight="false" outlineLevel="0" collapsed="false">
      <c r="A23" s="19" t="s">
        <v>124</v>
      </c>
      <c r="B23" s="19" t="s">
        <v>118</v>
      </c>
      <c r="C23" s="23" t="n">
        <v>2369794</v>
      </c>
      <c r="D23" s="23" t="n">
        <f aca="false">D22*'Cost Inputs'!$B$27*(1+'Cost Inputs'!$B$32)^(1)</f>
        <v>7239131.496</v>
      </c>
      <c r="E23" s="23" t="n">
        <f aca="false">E22*'Cost Inputs'!$B$27*(1+'Cost Inputs'!$B$32)^(2)</f>
        <v>24215057.04</v>
      </c>
      <c r="F23" s="23" t="n">
        <f aca="false">F22*'Cost Inputs'!$B$27*(1+'Cost Inputs'!$B$32)^(3)</f>
        <v>25961493.4</v>
      </c>
      <c r="G23" s="23" t="n">
        <f aca="false">G22*'Cost Inputs'!$B$27*(1+'Cost Inputs'!$B$32)^(4)</f>
        <v>25961493.4</v>
      </c>
      <c r="H23" s="23" t="n">
        <f aca="false">H22*'Cost Inputs'!$B$27*(1+'Cost Inputs'!$B$32)^(5)</f>
        <v>25961493.4</v>
      </c>
      <c r="I23" s="23" t="n">
        <f aca="false">I22*'Cost Inputs'!$B$27*(1+'Cost Inputs'!$B$32)^(6)</f>
        <v>25961493.4</v>
      </c>
      <c r="J23" s="23" t="n">
        <f aca="false">J22*'Cost Inputs'!$B$27*(1+'Cost Inputs'!$B$32)^(7)</f>
        <v>25961493.4</v>
      </c>
      <c r="K23" s="23" t="n">
        <f aca="false">K22*'Cost Inputs'!$B$27*(1+'Cost Inputs'!$B$32)^(8)</f>
        <v>25961493.4</v>
      </c>
      <c r="L23" s="23" t="n">
        <f aca="false">L22*'Cost Inputs'!$B$27*(1+'Cost Inputs'!$B$32)^(9)</f>
        <v>25961493.4</v>
      </c>
      <c r="M23" s="24" t="n">
        <f aca="false">SUM(C23:L23)</f>
        <v>215554436.336</v>
      </c>
    </row>
    <row r="24" customFormat="false" ht="15" hidden="false" customHeight="false" outlineLevel="0" collapsed="false">
      <c r="A24" s="19" t="s">
        <v>125</v>
      </c>
      <c r="B24" s="19" t="s">
        <v>4</v>
      </c>
      <c r="C24" s="21" t="n">
        <v>5000</v>
      </c>
      <c r="D24" s="21" t="n">
        <f aca="false">'Cost Inputs'!$B$4+(D6-C6)*'Cost Inputs'!$B$16</f>
        <v>2169.67857142857</v>
      </c>
      <c r="E24" s="21" t="n">
        <f aca="false">'Cost Inputs'!$B$4+(E6-D6)*'Cost Inputs'!$B$16</f>
        <v>2398.25</v>
      </c>
      <c r="F24" s="21" t="n">
        <f aca="false">'Cost Inputs'!$B$4+(F6-E6)*'Cost Inputs'!$B$16</f>
        <v>2398.25</v>
      </c>
      <c r="G24" s="21" t="n">
        <f aca="false">'Cost Inputs'!$B$4+(G6-F6)*'Cost Inputs'!$B$16</f>
        <v>2398.25</v>
      </c>
      <c r="H24" s="21" t="n">
        <f aca="false">'Cost Inputs'!$B$4+(H6-G6)*'Cost Inputs'!$B$16</f>
        <v>2398.25</v>
      </c>
      <c r="I24" s="21" t="n">
        <f aca="false">'Cost Inputs'!$B$4+(I6-H6)*'Cost Inputs'!$B$16</f>
        <v>2398.25</v>
      </c>
      <c r="J24" s="21" t="n">
        <f aca="false">'Cost Inputs'!$B$4+(J6-I6)*'Cost Inputs'!$B$16</f>
        <v>2398.25</v>
      </c>
      <c r="K24" s="21" t="n">
        <f aca="false">'Cost Inputs'!$B$4+(K6-J6)*'Cost Inputs'!$B$16</f>
        <v>2398.25</v>
      </c>
      <c r="L24" s="21" t="n">
        <f aca="false">'Cost Inputs'!$B$4+(L6-K6)*'Cost Inputs'!$B$16</f>
        <v>2398.25</v>
      </c>
      <c r="M24" s="22" t="n">
        <f aca="false">SUM(C24:L24)</f>
        <v>26355.6785714286</v>
      </c>
    </row>
    <row r="25" customFormat="false" ht="15" hidden="false" customHeight="false" outlineLevel="0" collapsed="false">
      <c r="A25" s="19" t="s">
        <v>126</v>
      </c>
      <c r="B25" s="19" t="s">
        <v>118</v>
      </c>
      <c r="C25" s="23" t="n">
        <v>43125</v>
      </c>
      <c r="D25" s="23" t="n">
        <f aca="false">D24*'Cost Inputs'!$B$28*(1+'Cost Inputs'!$B$32)^(1)</f>
        <v>18713.4776785714</v>
      </c>
      <c r="E25" s="23" t="n">
        <f aca="false">E24*'Cost Inputs'!$B$28*(1+'Cost Inputs'!$B$32)^(2)</f>
        <v>20684.90625</v>
      </c>
      <c r="F25" s="23" t="n">
        <f aca="false">F24*'Cost Inputs'!$B$28*(1+'Cost Inputs'!$B$32)^(3)</f>
        <v>20684.90625</v>
      </c>
      <c r="G25" s="23" t="n">
        <f aca="false">G24*'Cost Inputs'!$B$28*(1+'Cost Inputs'!$B$32)^(4)</f>
        <v>20684.90625</v>
      </c>
      <c r="H25" s="23" t="n">
        <f aca="false">H24*'Cost Inputs'!$B$28*(1+'Cost Inputs'!$B$32)^(5)</f>
        <v>20684.90625</v>
      </c>
      <c r="I25" s="23" t="n">
        <f aca="false">I24*'Cost Inputs'!$B$28*(1+'Cost Inputs'!$B$32)^(6)</f>
        <v>20684.90625</v>
      </c>
      <c r="J25" s="23" t="n">
        <f aca="false">J24*'Cost Inputs'!$B$28*(1+'Cost Inputs'!$B$32)^(7)</f>
        <v>20684.90625</v>
      </c>
      <c r="K25" s="23" t="n">
        <f aca="false">K24*'Cost Inputs'!$B$28*(1+'Cost Inputs'!$B$32)^(8)</f>
        <v>20684.90625</v>
      </c>
      <c r="L25" s="23" t="n">
        <f aca="false">L24*'Cost Inputs'!$B$28*(1+'Cost Inputs'!$B$32)^(9)</f>
        <v>20684.90625</v>
      </c>
      <c r="M25" s="24" t="n">
        <f aca="false">SUM(C25:L25)</f>
        <v>227317.727678571</v>
      </c>
    </row>
    <row r="27" customFormat="false" ht="15" hidden="false" customHeight="false" outlineLevel="0" collapsed="false">
      <c r="A27" s="3" t="s">
        <v>127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customFormat="false" ht="15" hidden="false" customHeight="false" outlineLevel="0" collapsed="false">
      <c r="A28" s="19" t="s">
        <v>128</v>
      </c>
      <c r="B28" s="19" t="s">
        <v>26</v>
      </c>
      <c r="C28" s="21" t="n">
        <v>24</v>
      </c>
      <c r="D28" s="21" t="n">
        <f aca="false">'Cost Inputs'!$B$37</f>
        <v>29</v>
      </c>
      <c r="E28" s="21" t="n">
        <f aca="false">'Cost Inputs'!$B$37</f>
        <v>29</v>
      </c>
      <c r="F28" s="21" t="n">
        <f aca="false">'Cost Inputs'!$B$37</f>
        <v>29</v>
      </c>
      <c r="G28" s="21" t="n">
        <f aca="false">'Cost Inputs'!$B$37</f>
        <v>29</v>
      </c>
      <c r="H28" s="21" t="n">
        <f aca="false">'Cost Inputs'!$B$37</f>
        <v>29</v>
      </c>
      <c r="I28" s="21" t="n">
        <f aca="false">'Cost Inputs'!$B$37</f>
        <v>29</v>
      </c>
      <c r="J28" s="21" t="n">
        <f aca="false">'Cost Inputs'!$B$37</f>
        <v>29</v>
      </c>
      <c r="K28" s="21" t="n">
        <f aca="false">'Cost Inputs'!$B$37</f>
        <v>29</v>
      </c>
      <c r="L28" s="21" t="n">
        <f aca="false">'Cost Inputs'!$B$37</f>
        <v>29</v>
      </c>
      <c r="M28" s="22" t="n">
        <f aca="false">SUM(C28:L28)</f>
        <v>285</v>
      </c>
    </row>
    <row r="29" customFormat="false" ht="15" hidden="false" customHeight="false" outlineLevel="0" collapsed="false">
      <c r="A29" s="19" t="s">
        <v>129</v>
      </c>
      <c r="B29" s="19" t="s">
        <v>118</v>
      </c>
      <c r="C29" s="23" t="n">
        <v>740784</v>
      </c>
      <c r="D29" s="23" t="n">
        <f aca="false">D28*'Cost Inputs'!$B$26*(1+'Cost Inputs'!$B$32)^(1)</f>
        <v>895114</v>
      </c>
      <c r="E29" s="23" t="n">
        <f aca="false">E28*'Cost Inputs'!$B$26*(1+'Cost Inputs'!$B$32)^(2)</f>
        <v>895114</v>
      </c>
      <c r="F29" s="23" t="n">
        <f aca="false">F28*'Cost Inputs'!$B$26*(1+'Cost Inputs'!$B$32)^(3)</f>
        <v>895114</v>
      </c>
      <c r="G29" s="23" t="n">
        <f aca="false">G28*'Cost Inputs'!$B$26*(1+'Cost Inputs'!$B$32)^(4)</f>
        <v>895114</v>
      </c>
      <c r="H29" s="23" t="n">
        <f aca="false">H28*'Cost Inputs'!$B$26*(1+'Cost Inputs'!$B$32)^(5)</f>
        <v>895114</v>
      </c>
      <c r="I29" s="23" t="n">
        <f aca="false">I28*'Cost Inputs'!$B$26*(1+'Cost Inputs'!$B$32)^(6)</f>
        <v>895114</v>
      </c>
      <c r="J29" s="23" t="n">
        <f aca="false">J28*'Cost Inputs'!$B$26*(1+'Cost Inputs'!$B$32)^(7)</f>
        <v>895114</v>
      </c>
      <c r="K29" s="23" t="n">
        <f aca="false">K28*'Cost Inputs'!$B$26*(1+'Cost Inputs'!$B$32)^(8)</f>
        <v>895114</v>
      </c>
      <c r="L29" s="23" t="n">
        <f aca="false">L28*'Cost Inputs'!$B$26*(1+'Cost Inputs'!$B$32)^(9)</f>
        <v>895114</v>
      </c>
      <c r="M29" s="24" t="n">
        <f aca="false">SUM(C29:L29)</f>
        <v>8796810</v>
      </c>
    </row>
    <row r="30" customFormat="false" ht="15" hidden="false" customHeight="false" outlineLevel="0" collapsed="false">
      <c r="A30" s="19" t="s">
        <v>130</v>
      </c>
      <c r="B30" s="19" t="s">
        <v>26</v>
      </c>
      <c r="C30" s="25" t="n">
        <v>82</v>
      </c>
      <c r="D30" s="25" t="n">
        <v>211</v>
      </c>
      <c r="E30" s="25" t="n">
        <v>194</v>
      </c>
      <c r="F30" s="25" t="n">
        <v>265</v>
      </c>
      <c r="G30" s="25" t="n">
        <v>336</v>
      </c>
      <c r="H30" s="25" t="n">
        <v>407</v>
      </c>
      <c r="I30" s="25" t="n">
        <v>240</v>
      </c>
      <c r="J30" s="25" t="n">
        <v>276</v>
      </c>
      <c r="K30" s="25" t="n">
        <v>311</v>
      </c>
      <c r="L30" s="25" t="n">
        <v>347</v>
      </c>
    </row>
    <row r="31" customFormat="false" ht="15" hidden="false" customHeight="false" outlineLevel="0" collapsed="false">
      <c r="A31" s="19" t="s">
        <v>131</v>
      </c>
      <c r="B31" s="19" t="s">
        <v>26</v>
      </c>
      <c r="C31" s="21" t="n">
        <f aca="false">MAX('Cost Inputs'!$B$19,C30)</f>
        <v>92</v>
      </c>
      <c r="D31" s="21" t="n">
        <f aca="false">MAX(C31,D30)</f>
        <v>211</v>
      </c>
      <c r="E31" s="21" t="n">
        <f aca="false">MAX(D31,E30)</f>
        <v>211</v>
      </c>
      <c r="F31" s="21" t="n">
        <f aca="false">MAX(E31,F30)</f>
        <v>265</v>
      </c>
      <c r="G31" s="21" t="n">
        <f aca="false">MAX(F31,G30)</f>
        <v>336</v>
      </c>
      <c r="H31" s="21" t="n">
        <f aca="false">MAX(G31,H30)</f>
        <v>407</v>
      </c>
      <c r="I31" s="21" t="n">
        <f aca="false">MAX(H31,I30)</f>
        <v>407</v>
      </c>
      <c r="J31" s="21" t="n">
        <f aca="false">MAX(I31,J30)</f>
        <v>407</v>
      </c>
      <c r="K31" s="21" t="n">
        <f aca="false">MAX(J31,K30)</f>
        <v>407</v>
      </c>
      <c r="L31" s="21" t="n">
        <f aca="false">MAX(K31,L30)</f>
        <v>407</v>
      </c>
    </row>
    <row r="32" customFormat="false" ht="15" hidden="false" customHeight="false" outlineLevel="0" collapsed="false">
      <c r="A32" s="19" t="s">
        <v>132</v>
      </c>
      <c r="B32" s="19" t="s">
        <v>26</v>
      </c>
      <c r="C32" s="21" t="n">
        <f aca="false">MAX(0,C30-'Cost Inputs'!$B$19)</f>
        <v>0</v>
      </c>
      <c r="D32" s="21" t="n">
        <f aca="false">D31-C31</f>
        <v>119</v>
      </c>
      <c r="E32" s="21" t="n">
        <f aca="false">E31-D31</f>
        <v>0</v>
      </c>
      <c r="F32" s="21" t="n">
        <f aca="false">F31-E31</f>
        <v>54</v>
      </c>
      <c r="G32" s="21" t="n">
        <f aca="false">G31-F31</f>
        <v>71</v>
      </c>
      <c r="H32" s="21" t="n">
        <f aca="false">H31-G31</f>
        <v>71</v>
      </c>
      <c r="I32" s="21" t="n">
        <f aca="false">I31-H31</f>
        <v>0</v>
      </c>
      <c r="J32" s="21" t="n">
        <f aca="false">J31-I31</f>
        <v>0</v>
      </c>
      <c r="K32" s="21" t="n">
        <f aca="false">K31-J31</f>
        <v>0</v>
      </c>
      <c r="L32" s="21" t="n">
        <f aca="false">L31-K31</f>
        <v>0</v>
      </c>
      <c r="M32" s="22" t="n">
        <f aca="false">SUM(C32:L32)</f>
        <v>315</v>
      </c>
    </row>
    <row r="33" customFormat="false" ht="15" hidden="false" customHeight="false" outlineLevel="0" collapsed="false">
      <c r="A33" s="19" t="s">
        <v>69</v>
      </c>
      <c r="B33" s="19" t="s">
        <v>26</v>
      </c>
      <c r="C33" s="21" t="n">
        <v>0</v>
      </c>
      <c r="D33" s="21" t="n">
        <f aca="false">'Cost Inputs'!$B$36</f>
        <v>31</v>
      </c>
      <c r="E33" s="21" t="n">
        <f aca="false">'Cost Inputs'!$B$36</f>
        <v>31</v>
      </c>
      <c r="F33" s="21" t="n">
        <f aca="false">'Cost Inputs'!$B$36</f>
        <v>31</v>
      </c>
      <c r="G33" s="21" t="n">
        <f aca="false">'Cost Inputs'!$B$36</f>
        <v>31</v>
      </c>
      <c r="H33" s="21" t="n">
        <f aca="false">'Cost Inputs'!$B$36</f>
        <v>31</v>
      </c>
      <c r="I33" s="21" t="n">
        <f aca="false">'Cost Inputs'!$B$36</f>
        <v>31</v>
      </c>
      <c r="J33" s="21" t="n">
        <f aca="false">'Cost Inputs'!$B$36</f>
        <v>31</v>
      </c>
      <c r="K33" s="21" t="n">
        <f aca="false">'Cost Inputs'!$B$36</f>
        <v>31</v>
      </c>
      <c r="L33" s="21" t="n">
        <f aca="false">'Cost Inputs'!$B$36</f>
        <v>31</v>
      </c>
      <c r="M33" s="22" t="n">
        <f aca="false">SUM(C33:L33)</f>
        <v>279</v>
      </c>
    </row>
    <row r="34" customFormat="false" ht="15" hidden="false" customHeight="false" outlineLevel="0" collapsed="false">
      <c r="A34" s="19" t="s">
        <v>133</v>
      </c>
      <c r="B34" s="19" t="s">
        <v>118</v>
      </c>
      <c r="C34" s="23" t="n">
        <f aca="false">(C32+C33)*'Cost Inputs'!$B$26*(1+'Cost Inputs'!$B$32)^(0)</f>
        <v>0</v>
      </c>
      <c r="D34" s="23" t="n">
        <f aca="false">(D32+D33)*'Cost Inputs'!$B$26*(1+'Cost Inputs'!$B$32)^(1)</f>
        <v>4629900</v>
      </c>
      <c r="E34" s="23" t="n">
        <f aca="false">(E32+E33)*'Cost Inputs'!$B$26*(1+'Cost Inputs'!$B$32)^(2)</f>
        <v>956846</v>
      </c>
      <c r="F34" s="23" t="n">
        <f aca="false">(F32+F33)*'Cost Inputs'!$B$26*(1+'Cost Inputs'!$B$32)^(3)</f>
        <v>2623610</v>
      </c>
      <c r="G34" s="23" t="n">
        <f aca="false">(G32+G33)*'Cost Inputs'!$B$26*(1+'Cost Inputs'!$B$32)^(4)</f>
        <v>3148332</v>
      </c>
      <c r="H34" s="23" t="n">
        <f aca="false">(H32+H33)*'Cost Inputs'!$B$26*(1+'Cost Inputs'!$B$32)^(5)</f>
        <v>3148332</v>
      </c>
      <c r="I34" s="23" t="n">
        <f aca="false">(I32+I33)*'Cost Inputs'!$B$26*(1+'Cost Inputs'!$B$32)^(6)</f>
        <v>956846</v>
      </c>
      <c r="J34" s="23" t="n">
        <f aca="false">(J32+J33)*'Cost Inputs'!$B$26*(1+'Cost Inputs'!$B$32)^(7)</f>
        <v>956846</v>
      </c>
      <c r="K34" s="23" t="n">
        <f aca="false">(K32+K33)*'Cost Inputs'!$B$26*(1+'Cost Inputs'!$B$32)^(8)</f>
        <v>956846</v>
      </c>
      <c r="L34" s="23" t="n">
        <f aca="false">(L32+L33)*'Cost Inputs'!$B$26*(1+'Cost Inputs'!$B$32)^(9)</f>
        <v>956846</v>
      </c>
      <c r="M34" s="24" t="n">
        <f aca="false">SUM(C34:L34)</f>
        <v>18334404</v>
      </c>
    </row>
    <row r="36" customFormat="false" ht="15" hidden="false" customHeight="false" outlineLevel="0" collapsed="false">
      <c r="A36" s="3" t="s">
        <v>134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Format="false" ht="15" hidden="false" customHeight="false" outlineLevel="0" collapsed="false">
      <c r="A37" s="19" t="s">
        <v>135</v>
      </c>
      <c r="B37" s="19" t="s">
        <v>118</v>
      </c>
      <c r="C37" s="23" t="n">
        <f aca="false">C16+C23+C25+C29+C34</f>
        <v>3153703</v>
      </c>
      <c r="D37" s="23" t="n">
        <f aca="false">D16+D23+D25+D29+D34</f>
        <v>17071898.9736786</v>
      </c>
      <c r="E37" s="23" t="n">
        <f aca="false">E16+E23+E25+E29+E34</f>
        <v>30376741.94625</v>
      </c>
      <c r="F37" s="23" t="n">
        <f aca="false">F16+F23+F25+F29+F34</f>
        <v>33789942.30625</v>
      </c>
      <c r="G37" s="23" t="n">
        <f aca="false">G16+G23+G25+G29+G34</f>
        <v>34314664.30625</v>
      </c>
      <c r="H37" s="23" t="n">
        <f aca="false">H16+H23+H25+H29+H34</f>
        <v>35118859.30625</v>
      </c>
      <c r="I37" s="23" t="n">
        <f aca="false">I16+I23+I25+I29+I34</f>
        <v>33820923.30625</v>
      </c>
      <c r="J37" s="23" t="n">
        <f aca="false">J16+J23+J25+J29+J34</f>
        <v>33910278.30625</v>
      </c>
      <c r="K37" s="23" t="n">
        <f aca="false">K16+K23+K25+K29+K34</f>
        <v>34625118.30625</v>
      </c>
      <c r="L37" s="23" t="n">
        <f aca="false">L16+L23+L25+L29+L34</f>
        <v>35608023.30625</v>
      </c>
      <c r="M37" s="24" t="n">
        <f aca="false">SUM(C37:L37)</f>
        <v>291790153.063679</v>
      </c>
    </row>
    <row r="38" customFormat="false" ht="15" hidden="false" customHeight="false" outlineLevel="0" collapsed="false">
      <c r="A38" s="19" t="s">
        <v>136</v>
      </c>
      <c r="B38" s="19" t="s">
        <v>26</v>
      </c>
      <c r="C38" s="21" t="n">
        <f aca="false">323+SUM($C$12:C12)+SUM($C$32:C32)+SUM($C$28:C28)-24</f>
        <v>323</v>
      </c>
      <c r="D38" s="21" t="n">
        <f aca="false">323+SUM($C$12:D12)+SUM($C$32:D32)+SUM($C$28:D28)-24</f>
        <v>471</v>
      </c>
      <c r="E38" s="21" t="n">
        <f aca="false">323+SUM($C$12:E12)+SUM($C$32:E32)+SUM($C$28:E28)-24</f>
        <v>500</v>
      </c>
      <c r="F38" s="21" t="n">
        <f aca="false">323+SUM($C$12:F12)+SUM($C$32:F32)+SUM($C$28:F28)-24</f>
        <v>583</v>
      </c>
      <c r="G38" s="21" t="n">
        <f aca="false">323+SUM($C$12:G12)+SUM($C$32:G32)+SUM($C$28:G28)-24</f>
        <v>683</v>
      </c>
      <c r="H38" s="21" t="n">
        <f aca="false">323+SUM($C$12:H12)+SUM($C$32:H32)+SUM($C$28:H28)-24</f>
        <v>792</v>
      </c>
      <c r="I38" s="21" t="n">
        <f aca="false">323+SUM($C$12:I12)+SUM($C$32:I32)+SUM($C$28:I28)-24</f>
        <v>840</v>
      </c>
      <c r="J38" s="21" t="n">
        <f aca="false">323+SUM($C$12:J12)+SUM($C$32:J32)+SUM($C$28:J28)-24</f>
        <v>889</v>
      </c>
      <c r="K38" s="21" t="n">
        <f aca="false">323+SUM($C$12:K12)+SUM($C$32:K32)+SUM($C$28:K28)-24</f>
        <v>937</v>
      </c>
      <c r="L38" s="21" t="n">
        <f aca="false">323+SUM($C$12:L12)+SUM($C$32:L32)+SUM($C$28:L28)-24</f>
        <v>986</v>
      </c>
    </row>
    <row r="39" customFormat="false" ht="15" hidden="false" customHeight="false" outlineLevel="0" collapsed="false">
      <c r="A39" s="19" t="s">
        <v>137</v>
      </c>
      <c r="B39" s="19" t="s">
        <v>118</v>
      </c>
      <c r="C39" s="23" t="n">
        <f aca="false">C38*'Cost Inputs'!$B$29</f>
        <v>182818</v>
      </c>
      <c r="D39" s="23" t="n">
        <f aca="false">D38*'Cost Inputs'!$B$29</f>
        <v>266586</v>
      </c>
      <c r="E39" s="23" t="n">
        <f aca="false">E38*'Cost Inputs'!$B$29</f>
        <v>283000</v>
      </c>
      <c r="F39" s="23" t="n">
        <f aca="false">F38*'Cost Inputs'!$B$29</f>
        <v>329978</v>
      </c>
      <c r="G39" s="23" t="n">
        <f aca="false">G38*'Cost Inputs'!$B$29</f>
        <v>386578</v>
      </c>
      <c r="H39" s="23" t="n">
        <f aca="false">H38*'Cost Inputs'!$B$29</f>
        <v>448272</v>
      </c>
      <c r="I39" s="23" t="n">
        <f aca="false">I38*'Cost Inputs'!$B$29</f>
        <v>475440</v>
      </c>
      <c r="J39" s="23" t="n">
        <f aca="false">J38*'Cost Inputs'!$B$29</f>
        <v>503174</v>
      </c>
      <c r="K39" s="23" t="n">
        <f aca="false">K38*'Cost Inputs'!$B$29</f>
        <v>530342</v>
      </c>
      <c r="L39" s="23" t="n">
        <f aca="false">L38*'Cost Inputs'!$B$29</f>
        <v>558076</v>
      </c>
      <c r="M39" s="24" t="n">
        <f aca="false">SUM(C39:L39)</f>
        <v>3964264</v>
      </c>
    </row>
    <row r="40" customFormat="false" ht="15" hidden="false" customHeight="false" outlineLevel="0" collapsed="false">
      <c r="A40" s="19" t="s">
        <v>138</v>
      </c>
      <c r="B40" s="19" t="s">
        <v>118</v>
      </c>
      <c r="C40" s="23" t="n">
        <f aca="false">C37*'Cost Inputs'!$B$30+'Cost Inputs'!$B$31</f>
        <v>591518.42</v>
      </c>
      <c r="D40" s="23" t="n">
        <f aca="false">D37*'Cost Inputs'!$B$30+'Cost Inputs'!$B$31</f>
        <v>2540065.856315</v>
      </c>
      <c r="E40" s="23" t="n">
        <f aca="false">E37*'Cost Inputs'!$B$30+'Cost Inputs'!$B$31</f>
        <v>4402743.872475</v>
      </c>
      <c r="F40" s="23" t="n">
        <f aca="false">F37*'Cost Inputs'!$B$30+'Cost Inputs'!$B$31</f>
        <v>4880591.922875</v>
      </c>
      <c r="G40" s="23" t="n">
        <f aca="false">G37*'Cost Inputs'!$B$30+'Cost Inputs'!$B$31</f>
        <v>4954053.002875</v>
      </c>
      <c r="H40" s="23" t="n">
        <f aca="false">H37*'Cost Inputs'!$B$30+'Cost Inputs'!$B$31</f>
        <v>5066640.302875</v>
      </c>
      <c r="I40" s="23" t="n">
        <f aca="false">I37*'Cost Inputs'!$B$30+'Cost Inputs'!$B$31</f>
        <v>4884929.262875</v>
      </c>
      <c r="J40" s="23" t="n">
        <f aca="false">J37*'Cost Inputs'!$B$30+'Cost Inputs'!$B$31</f>
        <v>4897438.962875</v>
      </c>
      <c r="K40" s="23" t="n">
        <f aca="false">K37*'Cost Inputs'!$B$30+'Cost Inputs'!$B$31</f>
        <v>4997516.562875</v>
      </c>
      <c r="L40" s="23" t="n">
        <f aca="false">L37*'Cost Inputs'!$B$30+'Cost Inputs'!$B$31</f>
        <v>5135123.262875</v>
      </c>
      <c r="M40" s="24" t="n">
        <f aca="false">SUM(C40:L40)</f>
        <v>42350621.428915</v>
      </c>
    </row>
    <row r="41" customFormat="false" ht="15" hidden="false" customHeight="false" outlineLevel="0" collapsed="false">
      <c r="A41" s="26" t="s">
        <v>139</v>
      </c>
      <c r="B41" s="19" t="s">
        <v>118</v>
      </c>
      <c r="C41" s="23" t="n">
        <f aca="false">C37+C39+C40</f>
        <v>3928039.42</v>
      </c>
      <c r="D41" s="23" t="n">
        <f aca="false">D37+D39+D40</f>
        <v>19878550.8299936</v>
      </c>
      <c r="E41" s="23" t="n">
        <f aca="false">E37+E39+E40</f>
        <v>35062485.818725</v>
      </c>
      <c r="F41" s="23" t="n">
        <f aca="false">F37+F39+F40</f>
        <v>39000512.229125</v>
      </c>
      <c r="G41" s="23" t="n">
        <f aca="false">G37+G39+G40</f>
        <v>39655295.309125</v>
      </c>
      <c r="H41" s="23" t="n">
        <f aca="false">H37+H39+H40</f>
        <v>40633771.609125</v>
      </c>
      <c r="I41" s="23" t="n">
        <f aca="false">I37+I39+I40</f>
        <v>39181292.569125</v>
      </c>
      <c r="J41" s="23" t="n">
        <f aca="false">J37+J39+J40</f>
        <v>39310891.269125</v>
      </c>
      <c r="K41" s="23" t="n">
        <f aca="false">K37+K39+K40</f>
        <v>40152976.869125</v>
      </c>
      <c r="L41" s="23" t="n">
        <f aca="false">L37+L39+L40</f>
        <v>41301222.569125</v>
      </c>
      <c r="M41" s="24" t="n">
        <f aca="false">SUM(C41:L41)</f>
        <v>338105038.492594</v>
      </c>
    </row>
    <row r="42" customFormat="false" ht="15" hidden="false" customHeight="false" outlineLevel="0" collapsed="false">
      <c r="A42" s="27" t="s">
        <v>139</v>
      </c>
      <c r="B42" s="27" t="s">
        <v>140</v>
      </c>
      <c r="C42" s="28" t="n">
        <f aca="false">C41</f>
        <v>3928039.42</v>
      </c>
      <c r="D42" s="28" t="n">
        <f aca="false">D41</f>
        <v>19878550.8299936</v>
      </c>
      <c r="E42" s="28" t="n">
        <f aca="false">E41</f>
        <v>35062485.818725</v>
      </c>
      <c r="F42" s="28" t="n">
        <f aca="false">F41</f>
        <v>39000512.229125</v>
      </c>
      <c r="G42" s="28" t="n">
        <f aca="false">G41</f>
        <v>39655295.309125</v>
      </c>
      <c r="H42" s="28" t="n">
        <f aca="false">H41</f>
        <v>40633771.609125</v>
      </c>
      <c r="I42" s="28" t="n">
        <f aca="false">I41</f>
        <v>39181292.569125</v>
      </c>
      <c r="J42" s="28" t="n">
        <f aca="false">J41</f>
        <v>39310891.269125</v>
      </c>
      <c r="K42" s="28" t="n">
        <f aca="false">K41</f>
        <v>40152976.869125</v>
      </c>
      <c r="L42" s="28" t="n">
        <f aca="false">L41</f>
        <v>41301222.569125</v>
      </c>
      <c r="M42" s="29" t="n">
        <f aca="false">SUM(C42:L42)</f>
        <v>338105038.492594</v>
      </c>
    </row>
    <row r="43" customFormat="false" ht="15" hidden="false" customHeight="false" outlineLevel="0" collapsed="false">
      <c r="A43" s="19" t="s">
        <v>141</v>
      </c>
      <c r="B43" s="19" t="s">
        <v>140</v>
      </c>
      <c r="C43" s="30" t="n">
        <f aca="false">C42</f>
        <v>3928039.42</v>
      </c>
      <c r="D43" s="30" t="n">
        <f aca="false">C43+D42</f>
        <v>23806590.2499936</v>
      </c>
      <c r="E43" s="30" t="n">
        <f aca="false">D43+E42</f>
        <v>58869076.0687186</v>
      </c>
      <c r="F43" s="30" t="n">
        <f aca="false">E43+F42</f>
        <v>97869588.2978436</v>
      </c>
      <c r="G43" s="30" t="n">
        <f aca="false">F43+G42</f>
        <v>137524883.606969</v>
      </c>
      <c r="H43" s="30" t="n">
        <f aca="false">G43+H42</f>
        <v>178158655.216094</v>
      </c>
      <c r="I43" s="30" t="n">
        <f aca="false">H43+I42</f>
        <v>217339947.785219</v>
      </c>
      <c r="J43" s="30" t="n">
        <f aca="false">I43+J42</f>
        <v>256650839.054344</v>
      </c>
      <c r="K43" s="30" t="n">
        <f aca="false">J43+K42</f>
        <v>296803815.923469</v>
      </c>
      <c r="L43" s="30" t="n">
        <f aca="false">K43+L42</f>
        <v>338105038.492594</v>
      </c>
    </row>
    <row r="45" customFormat="false" ht="53.7" hidden="false" customHeight="false" outlineLevel="0" collapsed="false">
      <c r="A45" s="31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2026-09-02T16:03:42Z</dcterms:created>
  <dc:creator>openpyxl</dc:creator>
  <dc:description/>
  <dc:language>en-US</dc:language>
  <cp:lastModifiedBy/>
  <dcterms:modified xsi:type="dcterms:W3CDTF">2026-09-02T16:03:42Z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