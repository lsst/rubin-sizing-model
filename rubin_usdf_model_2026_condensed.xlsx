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tani/Codes/rubin-sizing-model/"/>
    </mc:Choice>
  </mc:AlternateContent>
  <xr:revisionPtr revIDLastSave="0" documentId="11_1A35C4391743ED0110CCC7582B53B9013289A0A2" xr6:coauthVersionLast="47" xr6:coauthVersionMax="47" xr10:uidLastSave="{00000000-0000-0000-0000-000000000000}"/>
  <bookViews>
    <workbookView xWindow="0" yWindow="660" windowWidth="34560" windowHeight="21680" tabRatio="500" activeTab="4" xr2:uid="{00000000-000D-0000-FFFF-FFFF00000000}"/>
  </bookViews>
  <sheets>
    <sheet name="Key Numbers" sheetId="1" r:id="rId1"/>
    <sheet name="All at USDF" sheetId="2" r:id="rId2"/>
    <sheet name="Facility Split" sheetId="3" r:id="rId3"/>
    <sheet name="Qserv" sheetId="4" r:id="rId4"/>
    <sheet name="DF Templat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D9" i="5"/>
  <c r="D8" i="5"/>
  <c r="C8" i="5"/>
  <c r="B8" i="5"/>
  <c r="B7" i="5"/>
  <c r="D6" i="5"/>
  <c r="C6" i="5"/>
  <c r="J31" i="4"/>
  <c r="L30" i="4"/>
  <c r="K30" i="4"/>
  <c r="J30" i="4"/>
  <c r="I30" i="4"/>
  <c r="H30" i="4"/>
  <c r="G30" i="4"/>
  <c r="F30" i="4"/>
  <c r="E30" i="4"/>
  <c r="D30" i="4"/>
  <c r="C30" i="4"/>
  <c r="I29" i="4"/>
  <c r="I31" i="4" s="1"/>
  <c r="J25" i="4"/>
  <c r="I24" i="4"/>
  <c r="I25" i="4" s="1"/>
  <c r="H24" i="4"/>
  <c r="G24" i="4"/>
  <c r="F24" i="4"/>
  <c r="L23" i="4"/>
  <c r="K23" i="4"/>
  <c r="J23" i="4"/>
  <c r="I23" i="4"/>
  <c r="H23" i="4"/>
  <c r="J24" i="4" s="1"/>
  <c r="J29" i="4" s="1"/>
  <c r="G23" i="4"/>
  <c r="F23" i="4"/>
  <c r="E23" i="4"/>
  <c r="D23" i="4"/>
  <c r="C23" i="4"/>
  <c r="E24" i="4" s="1"/>
  <c r="L22" i="4"/>
  <c r="K22" i="4"/>
  <c r="J22" i="4"/>
  <c r="I22" i="4"/>
  <c r="H22" i="4"/>
  <c r="G22" i="4"/>
  <c r="F22" i="4"/>
  <c r="E22" i="4"/>
  <c r="D22" i="4"/>
  <c r="C22" i="4"/>
  <c r="K40" i="3"/>
  <c r="J40" i="3"/>
  <c r="C40" i="3"/>
  <c r="K39" i="3"/>
  <c r="J39" i="3"/>
  <c r="G39" i="3"/>
  <c r="G40" i="3" s="1"/>
  <c r="F39" i="3"/>
  <c r="F40" i="3" s="1"/>
  <c r="E39" i="3"/>
  <c r="E40" i="3" s="1"/>
  <c r="D39" i="3"/>
  <c r="D40" i="3" s="1"/>
  <c r="C39" i="3"/>
  <c r="E37" i="3"/>
  <c r="E38" i="3" s="1"/>
  <c r="G36" i="3"/>
  <c r="G35" i="3"/>
  <c r="C35" i="3"/>
  <c r="C36" i="3" s="1"/>
  <c r="G13" i="3"/>
  <c r="G16" i="3" s="1"/>
  <c r="B10" i="3"/>
  <c r="L7" i="3"/>
  <c r="K7" i="3"/>
  <c r="J7" i="3"/>
  <c r="I7" i="3"/>
  <c r="H7" i="3"/>
  <c r="G7" i="3"/>
  <c r="F7" i="3"/>
  <c r="E7" i="3"/>
  <c r="D7" i="3"/>
  <c r="C7" i="3"/>
  <c r="G28" i="2"/>
  <c r="F28" i="2"/>
  <c r="D28" i="2"/>
  <c r="L27" i="2"/>
  <c r="L28" i="2" s="1"/>
  <c r="K27" i="2"/>
  <c r="K28" i="2" s="1"/>
  <c r="J27" i="2"/>
  <c r="J28" i="2" s="1"/>
  <c r="I27" i="2"/>
  <c r="I28" i="2" s="1"/>
  <c r="H27" i="2"/>
  <c r="H28" i="2" s="1"/>
  <c r="G27" i="2"/>
  <c r="F27" i="2"/>
  <c r="E27" i="2"/>
  <c r="E28" i="2" s="1"/>
  <c r="D27" i="2"/>
  <c r="C27" i="2"/>
  <c r="C28" i="2" s="1"/>
  <c r="G26" i="2"/>
  <c r="F26" i="2"/>
  <c r="E26" i="2"/>
  <c r="D26" i="2"/>
  <c r="K25" i="2"/>
  <c r="K26" i="2" s="1"/>
  <c r="J25" i="2"/>
  <c r="J35" i="3" s="1"/>
  <c r="J36" i="3" s="1"/>
  <c r="G25" i="2"/>
  <c r="G37" i="3" s="1"/>
  <c r="G38" i="3" s="1"/>
  <c r="F25" i="2"/>
  <c r="D25" i="2"/>
  <c r="D37" i="3" s="1"/>
  <c r="D38" i="3" s="1"/>
  <c r="C25" i="2"/>
  <c r="K24" i="2"/>
  <c r="G24" i="2"/>
  <c r="F24" i="2"/>
  <c r="D24" i="2"/>
  <c r="L23" i="2"/>
  <c r="L24" i="2" s="1"/>
  <c r="K23" i="2"/>
  <c r="J23" i="2"/>
  <c r="J24" i="2" s="1"/>
  <c r="I23" i="2"/>
  <c r="I24" i="2" s="1"/>
  <c r="H23" i="2"/>
  <c r="H24" i="2" s="1"/>
  <c r="G23" i="2"/>
  <c r="F23" i="2"/>
  <c r="E23" i="2"/>
  <c r="E24" i="2" s="1"/>
  <c r="D23" i="2"/>
  <c r="C23" i="2"/>
  <c r="C24" i="2" s="1"/>
  <c r="J22" i="2"/>
  <c r="H22" i="2"/>
  <c r="F22" i="2"/>
  <c r="E22" i="2"/>
  <c r="D22" i="2"/>
  <c r="C22" i="2"/>
  <c r="L21" i="2"/>
  <c r="K21" i="2"/>
  <c r="K22" i="2" s="1"/>
  <c r="J21" i="2"/>
  <c r="I21" i="2"/>
  <c r="H21" i="2"/>
  <c r="G21" i="2"/>
  <c r="G22" i="2" s="1"/>
  <c r="F21" i="2"/>
  <c r="E21" i="2"/>
  <c r="E25" i="2" s="1"/>
  <c r="E35" i="3" s="1"/>
  <c r="E36" i="3" s="1"/>
  <c r="D21" i="2"/>
  <c r="C21" i="2"/>
  <c r="L15" i="2"/>
  <c r="K15" i="2"/>
  <c r="C9" i="2"/>
  <c r="L8" i="2"/>
  <c r="K8" i="2"/>
  <c r="K19" i="2" s="1"/>
  <c r="K20" i="2" s="1"/>
  <c r="J8" i="2"/>
  <c r="J19" i="2" s="1"/>
  <c r="J20" i="2" s="1"/>
  <c r="G8" i="2"/>
  <c r="G9" i="2" s="1"/>
  <c r="C7" i="2"/>
  <c r="D56" i="1"/>
  <c r="B55" i="1"/>
  <c r="D47" i="1"/>
  <c r="D39" i="1"/>
  <c r="D33" i="1"/>
  <c r="B32" i="1"/>
  <c r="B6" i="5" s="1"/>
  <c r="D28" i="1"/>
  <c r="B27" i="1"/>
  <c r="L14" i="2" s="1"/>
  <c r="D23" i="1"/>
  <c r="D22" i="1"/>
  <c r="D21" i="1"/>
  <c r="D20" i="1"/>
  <c r="D17" i="1"/>
  <c r="D12" i="1"/>
  <c r="D11" i="1"/>
  <c r="B8" i="1"/>
  <c r="E29" i="4" l="1"/>
  <c r="E25" i="4"/>
  <c r="G21" i="3"/>
  <c r="G30" i="3"/>
  <c r="G31" i="4"/>
  <c r="K35" i="3"/>
  <c r="K36" i="3" s="1"/>
  <c r="G12" i="2"/>
  <c r="G11" i="2"/>
  <c r="E31" i="4"/>
  <c r="L39" i="3"/>
  <c r="L40" i="3" s="1"/>
  <c r="L25" i="2"/>
  <c r="F29" i="4"/>
  <c r="F31" i="4" s="1"/>
  <c r="F25" i="4"/>
  <c r="F14" i="2"/>
  <c r="G29" i="4"/>
  <c r="G25" i="4"/>
  <c r="L24" i="4"/>
  <c r="K24" i="4"/>
  <c r="L19" i="2"/>
  <c r="L20" i="2" s="1"/>
  <c r="L9" i="2"/>
  <c r="C14" i="2"/>
  <c r="H29" i="4"/>
  <c r="H31" i="4" s="1"/>
  <c r="H25" i="4"/>
  <c r="J9" i="2"/>
  <c r="H14" i="2"/>
  <c r="J37" i="3"/>
  <c r="J38" i="3" s="1"/>
  <c r="D24" i="4"/>
  <c r="C24" i="4"/>
  <c r="E8" i="2"/>
  <c r="D8" i="2"/>
  <c r="I8" i="2"/>
  <c r="H8" i="2"/>
  <c r="J14" i="2"/>
  <c r="G14" i="2"/>
  <c r="K9" i="2"/>
  <c r="I14" i="2"/>
  <c r="L22" i="2"/>
  <c r="J26" i="2"/>
  <c r="K37" i="3"/>
  <c r="K38" i="3" s="1"/>
  <c r="D8" i="1"/>
  <c r="E15" i="2"/>
  <c r="D15" i="2"/>
  <c r="C15" i="2"/>
  <c r="B9" i="5"/>
  <c r="I15" i="2"/>
  <c r="H15" i="2"/>
  <c r="G19" i="2"/>
  <c r="G20" i="2" s="1"/>
  <c r="F15" i="2"/>
  <c r="H25" i="2"/>
  <c r="H39" i="3"/>
  <c r="H40" i="3" s="1"/>
  <c r="C37" i="3"/>
  <c r="C38" i="3" s="1"/>
  <c r="C26" i="2"/>
  <c r="D35" i="3"/>
  <c r="D36" i="3" s="1"/>
  <c r="K14" i="2"/>
  <c r="E14" i="2"/>
  <c r="D14" i="2"/>
  <c r="D27" i="1"/>
  <c r="C11" i="2"/>
  <c r="C12" i="2"/>
  <c r="C10" i="2"/>
  <c r="C13" i="3"/>
  <c r="G15" i="3"/>
  <c r="G14" i="3"/>
  <c r="G19" i="3" s="1"/>
  <c r="C8" i="2"/>
  <c r="C19" i="2" s="1"/>
  <c r="C20" i="2" s="1"/>
  <c r="G10" i="2"/>
  <c r="G15" i="2"/>
  <c r="I25" i="2"/>
  <c r="I22" i="2"/>
  <c r="I39" i="3"/>
  <c r="I40" i="3" s="1"/>
  <c r="F8" i="2"/>
  <c r="J15" i="2"/>
  <c r="F35" i="3"/>
  <c r="F36" i="3" s="1"/>
  <c r="F37" i="3"/>
  <c r="F38" i="3" s="1"/>
  <c r="J13" i="3" l="1"/>
  <c r="J12" i="2"/>
  <c r="J11" i="2"/>
  <c r="J10" i="2"/>
  <c r="L26" i="2"/>
  <c r="L35" i="3"/>
  <c r="L36" i="3" s="1"/>
  <c r="L37" i="3"/>
  <c r="L38" i="3" s="1"/>
  <c r="H35" i="3"/>
  <c r="H36" i="3" s="1"/>
  <c r="H37" i="3"/>
  <c r="H38" i="3" s="1"/>
  <c r="H26" i="2"/>
  <c r="C14" i="3"/>
  <c r="C19" i="3" s="1"/>
  <c r="C16" i="3"/>
  <c r="C15" i="3"/>
  <c r="C25" i="3"/>
  <c r="C24" i="3"/>
  <c r="C29" i="3" s="1"/>
  <c r="C13" i="2"/>
  <c r="C26" i="3"/>
  <c r="C16" i="2"/>
  <c r="G31" i="3"/>
  <c r="G20" i="3"/>
  <c r="K10" i="2"/>
  <c r="K12" i="2"/>
  <c r="K13" i="3"/>
  <c r="K11" i="2"/>
  <c r="L10" i="2"/>
  <c r="L13" i="3"/>
  <c r="L12" i="2"/>
  <c r="L11" i="2"/>
  <c r="H9" i="2"/>
  <c r="H19" i="2"/>
  <c r="H20" i="2" s="1"/>
  <c r="K29" i="4"/>
  <c r="K31" i="4" s="1"/>
  <c r="K25" i="4"/>
  <c r="I9" i="2"/>
  <c r="I19" i="2"/>
  <c r="I20" i="2" s="1"/>
  <c r="L29" i="4"/>
  <c r="L31" i="4" s="1"/>
  <c r="L25" i="4"/>
  <c r="F9" i="2"/>
  <c r="F19" i="2"/>
  <c r="F20" i="2" s="1"/>
  <c r="G26" i="3"/>
  <c r="G16" i="2"/>
  <c r="G13" i="2"/>
  <c r="G25" i="3"/>
  <c r="G24" i="3"/>
  <c r="G29" i="3" s="1"/>
  <c r="E9" i="2"/>
  <c r="E19" i="2"/>
  <c r="E20" i="2" s="1"/>
  <c r="I35" i="3"/>
  <c r="I36" i="3" s="1"/>
  <c r="I26" i="2"/>
  <c r="I37" i="3"/>
  <c r="I38" i="3" s="1"/>
  <c r="D25" i="4"/>
  <c r="D29" i="4"/>
  <c r="D31" i="4" s="1"/>
  <c r="D19" i="2"/>
  <c r="D20" i="2" s="1"/>
  <c r="D9" i="2"/>
  <c r="C25" i="4"/>
  <c r="C29" i="4"/>
  <c r="C31" i="4" s="1"/>
  <c r="L24" i="3" l="1"/>
  <c r="L29" i="3" s="1"/>
  <c r="L26" i="3"/>
  <c r="L16" i="2"/>
  <c r="L25" i="3"/>
  <c r="L13" i="2"/>
  <c r="K13" i="2"/>
  <c r="K24" i="3"/>
  <c r="K29" i="3" s="1"/>
  <c r="K26" i="3"/>
  <c r="K25" i="3"/>
  <c r="K16" i="2"/>
  <c r="J13" i="2"/>
  <c r="J24" i="3"/>
  <c r="J29" i="3" s="1"/>
  <c r="J26" i="3"/>
  <c r="J16" i="2"/>
  <c r="J25" i="3"/>
  <c r="K16" i="3"/>
  <c r="K15" i="3"/>
  <c r="K14" i="3"/>
  <c r="K19" i="3" s="1"/>
  <c r="I10" i="2"/>
  <c r="I13" i="3"/>
  <c r="I11" i="2"/>
  <c r="I12" i="2"/>
  <c r="C31" i="3"/>
  <c r="C20" i="3"/>
  <c r="L16" i="3"/>
  <c r="L15" i="3"/>
  <c r="L14" i="3"/>
  <c r="L19" i="3" s="1"/>
  <c r="C21" i="3"/>
  <c r="C30" i="3"/>
  <c r="E11" i="5"/>
  <c r="E12" i="5" s="1"/>
  <c r="D11" i="5"/>
  <c r="D12" i="5" s="1"/>
  <c r="B11" i="5"/>
  <c r="B12" i="5" s="1"/>
  <c r="D13" i="3"/>
  <c r="C11" i="5"/>
  <c r="C12" i="5" s="1"/>
  <c r="D10" i="2"/>
  <c r="D12" i="2"/>
  <c r="D11" i="2"/>
  <c r="F12" i="2"/>
  <c r="F11" i="2"/>
  <c r="F10" i="2"/>
  <c r="F13" i="3"/>
  <c r="E12" i="2"/>
  <c r="E10" i="2"/>
  <c r="E13" i="3"/>
  <c r="E11" i="2"/>
  <c r="H10" i="2"/>
  <c r="H13" i="3"/>
  <c r="H12" i="2"/>
  <c r="H11" i="2"/>
  <c r="J16" i="3"/>
  <c r="J15" i="3"/>
  <c r="J14" i="3"/>
  <c r="J19" i="3" s="1"/>
  <c r="F26" i="3" l="1"/>
  <c r="F25" i="3"/>
  <c r="F24" i="3"/>
  <c r="F29" i="3" s="1"/>
  <c r="F16" i="2"/>
  <c r="F13" i="2"/>
  <c r="L30" i="3"/>
  <c r="L21" i="3"/>
  <c r="D14" i="3"/>
  <c r="D19" i="3" s="1"/>
  <c r="D15" i="3"/>
  <c r="D16" i="3"/>
  <c r="D14" i="5"/>
  <c r="D15" i="5" s="1"/>
  <c r="D13" i="5"/>
  <c r="D16" i="5"/>
  <c r="F15" i="3"/>
  <c r="F14" i="3"/>
  <c r="F19" i="3" s="1"/>
  <c r="F16" i="3"/>
  <c r="J31" i="3"/>
  <c r="J20" i="3"/>
  <c r="I16" i="2"/>
  <c r="I13" i="2"/>
  <c r="I25" i="3"/>
  <c r="I26" i="3"/>
  <c r="I24" i="3"/>
  <c r="I29" i="3" s="1"/>
  <c r="C14" i="5"/>
  <c r="C15" i="5" s="1"/>
  <c r="C13" i="5"/>
  <c r="I16" i="3"/>
  <c r="I15" i="3"/>
  <c r="I14" i="3"/>
  <c r="I19" i="3" s="1"/>
  <c r="H15" i="3"/>
  <c r="H16" i="3"/>
  <c r="H14" i="3"/>
  <c r="H19" i="3" s="1"/>
  <c r="E26" i="3"/>
  <c r="E16" i="2"/>
  <c r="E24" i="3"/>
  <c r="E29" i="3" s="1"/>
  <c r="E25" i="3"/>
  <c r="E13" i="2"/>
  <c r="K31" i="3"/>
  <c r="K20" i="3"/>
  <c r="E16" i="3"/>
  <c r="E15" i="3"/>
  <c r="E14" i="3"/>
  <c r="E19" i="3" s="1"/>
  <c r="K21" i="3"/>
  <c r="K30" i="3"/>
  <c r="L20" i="3"/>
  <c r="L31" i="3"/>
  <c r="D25" i="3"/>
  <c r="D26" i="3"/>
  <c r="D24" i="3"/>
  <c r="D29" i="3" s="1"/>
  <c r="D13" i="2"/>
  <c r="D16" i="2"/>
  <c r="J21" i="3"/>
  <c r="J30" i="3"/>
  <c r="H26" i="3"/>
  <c r="H16" i="2"/>
  <c r="H25" i="3"/>
  <c r="H13" i="2"/>
  <c r="H24" i="3"/>
  <c r="H29" i="3" s="1"/>
  <c r="B13" i="5"/>
  <c r="B14" i="5"/>
  <c r="B15" i="5" s="1"/>
  <c r="B16" i="5"/>
  <c r="E16" i="5"/>
  <c r="E14" i="5"/>
  <c r="E15" i="5" s="1"/>
  <c r="E13" i="5"/>
  <c r="I31" i="3" l="1"/>
  <c r="I20" i="3"/>
  <c r="E31" i="3"/>
  <c r="E20" i="3"/>
  <c r="I21" i="3"/>
  <c r="I30" i="3"/>
  <c r="D30" i="3"/>
  <c r="D21" i="3"/>
  <c r="E30" i="3"/>
  <c r="E21" i="3"/>
  <c r="F31" i="3"/>
  <c r="F20" i="3"/>
  <c r="D20" i="3"/>
  <c r="D31" i="3"/>
  <c r="H21" i="3"/>
  <c r="H30" i="3"/>
  <c r="F21" i="3"/>
  <c r="F30" i="3"/>
  <c r="H31" i="3"/>
  <c r="H20" i="3"/>
</calcChain>
</file>

<file path=xl/sharedStrings.xml><?xml version="1.0" encoding="utf-8"?>
<sst xmlns="http://schemas.openxmlformats.org/spreadsheetml/2006/main" count="367" uniqueCount="207">
  <si>
    <t>Rubin USDF Model 2026 — Condensed — Key Numbers</t>
  </si>
  <si>
    <t>Blue = input (edit here) · Black = formula · Yellow = editable assumption · Column D = same quantity in alternate units. Downstream tabs recalculate from column B.</t>
  </si>
  <si>
    <t>OBSERVING</t>
  </si>
  <si>
    <t>Observing nights per year</t>
  </si>
  <si>
    <t>nights</t>
  </si>
  <si>
    <t>Visits per night (sim-based)</t>
  </si>
  <si>
    <t>visits</t>
  </si>
  <si>
    <t>Image size (logical)</t>
  </si>
  <si>
    <t>TB</t>
  </si>
  <si>
    <t>Raw compression ratio</t>
  </si>
  <si>
    <t>ratio</t>
  </si>
  <si>
    <t>Input data per survey year</t>
  </si>
  <si>
    <t>DRP COMPUTE</t>
  </si>
  <si>
    <t>DRP core-hours per input TB</t>
  </si>
  <si>
    <t>ch/TB</t>
  </si>
  <si>
    <t>DR1 compute (measured basis)</t>
  </si>
  <si>
    <t>core-hrs</t>
  </si>
  <si>
    <t>DP2 compute (actual, on Milano)</t>
  </si>
  <si>
    <t>node-days</t>
  </si>
  <si>
    <t>Cores per batch node</t>
  </si>
  <si>
    <t>cores</t>
  </si>
  <si>
    <t>DRP processing window</t>
  </si>
  <si>
    <t>days</t>
  </si>
  <si>
    <t>Idle / inter-stage multiplier</t>
  </si>
  <si>
    <t>×</t>
  </si>
  <si>
    <t>USDF RSP extra load fraction</t>
  </si>
  <si>
    <t>fraction</t>
  </si>
  <si>
    <t>Developer/pilot batch load</t>
  </si>
  <si>
    <t>node-days/yr</t>
  </si>
  <si>
    <t>Safety margin</t>
  </si>
  <si>
    <t>DRP STORAGE</t>
  </si>
  <si>
    <t>DP2 total DRP output (actual)</t>
  </si>
  <si>
    <t>PB</t>
  </si>
  <si>
    <t>DP2 release products (actual)</t>
  </si>
  <si>
    <t>DR-era total output per survey-year</t>
  </si>
  <si>
    <t>DR-era release products per survey-year</t>
  </si>
  <si>
    <t>Scratch / intermediate fraction</t>
  </si>
  <si>
    <t>USDF FLEET (2026)</t>
  </si>
  <si>
    <t>Batch nodes (Milano + Torino)</t>
  </si>
  <si>
    <t>nodes</t>
  </si>
  <si>
    <t>Batch cores (raw)</t>
  </si>
  <si>
    <t>Installed storage</t>
  </si>
  <si>
    <t>FACILITY SPLIT (DRP COMPUTE) — aggregates; per-year profile on Facility Split tab</t>
  </si>
  <si>
    <t>France / CC-IN2P3 share</t>
  </si>
  <si>
    <t>%</t>
  </si>
  <si>
    <t>UK / UKDF share (10-yr aggregate)</t>
  </si>
  <si>
    <t>USDF share (residual, aggregate)</t>
  </si>
  <si>
    <t>UK provisioned capacity</t>
  </si>
  <si>
    <t>ch/yr</t>
  </si>
  <si>
    <t>France provisioned capacity</t>
  </si>
  <si>
    <t>TBD</t>
  </si>
  <si>
    <t>QSERV (CATALOG DATABASE)</t>
  </si>
  <si>
    <t>Qserv nodes deployed</t>
  </si>
  <si>
    <t>Cores per Qserv node (AMD EPYC 7543P)</t>
  </si>
  <si>
    <t>RAM per Qserv node</t>
  </si>
  <si>
    <t>GB</t>
  </si>
  <si>
    <t>NVMe storage per node (raw, 12/24 slots)</t>
  </si>
  <si>
    <t>Qserv replication factor</t>
  </si>
  <si>
    <t>Qserv retention window</t>
  </si>
  <si>
    <t>years</t>
  </si>
  <si>
    <t>Object row size</t>
  </si>
  <si>
    <t>bytes</t>
  </si>
  <si>
    <t>Object extra row size</t>
  </si>
  <si>
    <t>Source row size</t>
  </si>
  <si>
    <t>Forced-source row size</t>
  </si>
  <si>
    <t>DP2 / EDP2 RELEASE (JUL 2026) — reference</t>
  </si>
  <si>
    <t>EDP2 distributed subset (total)</t>
  </si>
  <si>
    <t>EDP2 deep_coadd (largest component)</t>
  </si>
  <si>
    <t>EDP2 object_scarlet_models (new product)</t>
  </si>
  <si>
    <t>HiPS single-band maps (new product, ~36M files)</t>
  </si>
  <si>
    <t>FLEET PERFORMANCE &amp; DP2 SCALE</t>
  </si>
  <si>
    <t>Milano batch nodes</t>
  </si>
  <si>
    <t>Torino batch nodes</t>
  </si>
  <si>
    <t>Torino per-core speedup vs Milano</t>
  </si>
  <si>
    <t>Fleet capacity, Milano-equivalent cores</t>
  </si>
  <si>
    <t>DP2 visits processed (actual)</t>
  </si>
  <si>
    <t>Scenario A — Everything runs at USDF (100% of DRP)</t>
  </si>
  <si>
    <t>Metric</t>
  </si>
  <si>
    <t>Unit</t>
  </si>
  <si>
    <t>LOY1</t>
  </si>
  <si>
    <t>LOY2</t>
  </si>
  <si>
    <t>LOY3</t>
  </si>
  <si>
    <t>LOY4</t>
  </si>
  <si>
    <t>LOY5</t>
  </si>
  <si>
    <t>LOY6</t>
  </si>
  <si>
    <t>LOY7</t>
  </si>
  <si>
    <t>LOY8</t>
  </si>
  <si>
    <t>LOY9</t>
  </si>
  <si>
    <t>LOY10</t>
  </si>
  <si>
    <t>Fiscal Year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</si>
  <si>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</si>
  <si>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</si>
  <si>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</si>
  <si>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</si>
  <si>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</si>
  <si>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</si>
  <si>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</si>
  <si>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</si>
  <si>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</si>
  <si>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</si>
  <si>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Milestone</t>
  </si>
  <si>
    <t>DP2 (actual)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</si>
  <si>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</si>
  <si>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</si>
  <si>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</si>
  <si>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</si>
  <si>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</si>
  <si>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</si>
  <si>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</si>
  <si>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</si>
  <si>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</si>
  <si>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DRP COMPUTE — core-hours / node-days / peak cores (LOY1 = DP2 actuals)</t>
  </si>
  <si>
    <t>Survey years of input processed</t>
  </si>
  <si>
    <t>Cumulative input data</t>
  </si>
  <si>
    <t>DRP work — core-hours</t>
  </si>
  <si>
    <t>DRP work — node-days (@120 cores/node)</t>
  </si>
  <si>
    <t>DRP work — peak concurrent cores (200-day window)</t>
  </si>
  <si>
    <t>Core-hours w/ safety margin (1.5×)</t>
  </si>
  <si>
    <t>Batch nodes needed (peak)</t>
  </si>
  <si>
    <t>USDF fleet cores (raw)</t>
  </si>
  <si>
    <t>USDF fleet, Milano-equivalent cores</t>
  </si>
  <si>
    <t>Fleet utilization (peak / Milano-eq)</t>
  </si>
  <si>
    <t>DRP STORAGE — campaign output, PB and TB (LOY1 = DP2 actuals)</t>
  </si>
  <si>
    <t>Raw data cumulative (compressed)</t>
  </si>
  <si>
    <t xml:space="preserve">  same in TB</t>
  </si>
  <si>
    <t>DRP total output of this year's campaign</t>
  </si>
  <si>
    <t xml:space="preserve">  of which release products</t>
  </si>
  <si>
    <t>Scratch / intermediates during campaign</t>
  </si>
  <si>
    <t>Installed storage today (2026)</t>
  </si>
  <si>
    <t>LOY1/FY2026 shows DP2 as completed: 970 node-days (2.79M core-hours, run on Milano) and 7.43 PB total output — within the 30 PB installed. From LOY2/FY2027 the DR1 campaign processes one survey-year (~16.4M core-hours) and produces ~47 PB of campaign output (release products + intermediates), which exceeds today's installed storage and drives FY2027+ purchases; retention windows in the full model determine how much of each campaign's output remains on disk.</t>
  </si>
  <si>
    <t>Scenario B — DRP split across data facilities (storage archived at USDF)</t>
  </si>
  <si>
    <t>SHARES BY YEAR (blue = edit; UK front-loads ~40%, tapering to ~25% aggregate)</t>
  </si>
  <si>
    <t>USDF share (residual)</t>
  </si>
  <si>
    <t>UK / UKDF share</t>
  </si>
  <si>
    <t>UK work-weighted aggregate (target ≈25%)</t>
  </si>
  <si>
    <t>LOY1 shares are 0/0: DP2 was processed entirely at USDF.</t>
  </si>
  <si>
    <t>DRP WORK BY FACILITY — CORE-HOURS</t>
  </si>
  <si>
    <t>Total DRP core-hours</t>
  </si>
  <si>
    <t>USDF</t>
  </si>
  <si>
    <t>France / CC-IN2P3</t>
  </si>
  <si>
    <t>UK / UKDF</t>
  </si>
  <si>
    <t>DRP WORK BY FACILITY — NODE-DAYS (@120 cores/node)</t>
  </si>
  <si>
    <t>DRP WORK BY FACILITY — PEAK CONCURRENT CORES (200-day window)</t>
  </si>
  <si>
    <t>CAPACITY CHECKS</t>
  </si>
  <si>
    <t>USDF peak cores vs fleet (Milano-equivalent)</t>
  </si>
  <si>
    <t>UK required vs provisioned 40M ch/yr</t>
  </si>
  <si>
    <t>France required core-hours</t>
  </si>
  <si>
    <t>France capacity TBD.</t>
  </si>
  <si>
    <t>STORAGE IMPLICATIONS OF SPLIT — PB and TB</t>
  </si>
  <si>
    <t>Scratch at France (share × scratch)</t>
  </si>
  <si>
    <t>Scratch at UK (share × scratch)</t>
  </si>
  <si>
    <t>Release archive at USDF (unchanged)</t>
  </si>
  <si>
    <t>Assumptions: partner DFs hold scratch/intermediates for their share only; all release products transfer back to USDF for the archive. The UK per-year profile is provisional (front-load 40% in the first two DR years, 24% thereafter ≈ 25% work-weighted aggregate); replace with UKDF's computed plan when available.</t>
  </si>
  <si>
    <t>Qserv — Catalog Database Cluster (current) and LOY1-10 Projections</t>
  </si>
  <si>
    <t>CURRENT CLUSTER — TECHNICAL DESCRIPTION (as of July 2026)</t>
  </si>
  <si>
    <t>Deployments</t>
  </si>
  <si>
    <t>35-node K8s prod (serves DP2) + 35-node K8s int + 6-node Docker int</t>
  </si>
  <si>
    <t>CPU per node</t>
  </si>
  <si>
    <t>1 × AMD EPYC 7543P, 32 cores / 64 hardware threads (SMT enabled)</t>
  </si>
  <si>
    <t>RAM per node</t>
  </si>
  <si>
    <t>256 GB</t>
  </si>
  <si>
    <t>Storage per node</t>
  </si>
  <si>
    <t>Local NVMe (shared-nothing), no network storage in query path: 12 of 24 slots populated = 32 TB raw; ZFS automatic compression ~2x -&gt; ~64 TB effective; populating remaining slots would double raw capacity</t>
  </si>
  <si>
    <t>Internal network</t>
  </si>
  <si>
    <t>100 GbE</t>
  </si>
  <si>
    <t>Data replication</t>
  </si>
  <si>
    <t>3× across workers</t>
  </si>
  <si>
    <t>Procurement history</t>
  </si>
  <si>
    <t>102 nodes purchased: 15 (del. 2023-01), 32 (del. 2023-07), 55 (del. 2024-10)</t>
  </si>
  <si>
    <t>Same class as K8s fleet</t>
  </si>
  <si>
    <t>Most USDF K8s nodes share this hardware configuration (EPYC 7543P / 256 GB)</t>
  </si>
  <si>
    <t>DP2</t>
  </si>
  <si>
    <t>CATALOG SIZES BY RELEASE</t>
  </si>
  <si>
    <t>Objects</t>
  </si>
  <si>
    <t>billions</t>
  </si>
  <si>
    <t>Sources</t>
  </si>
  <si>
    <t>Forced sources</t>
  </si>
  <si>
    <t>QSERV DATABASE SIZE (replicated 3×) — TB and PB</t>
  </si>
  <si>
    <t>Czar / Object index</t>
  </si>
  <si>
    <t>Worker DB per release</t>
  </si>
  <si>
    <t>Worker DB windowed (3-release sliding)</t>
  </si>
  <si>
    <t xml:space="preserve">  same in PB</t>
  </si>
  <si>
    <t>NODE PROJECTION</t>
  </si>
  <si>
    <t>Data per node (drive-density ramp)</t>
  </si>
  <si>
    <t>TB/node</t>
  </si>
  <si>
    <t>Qserv nodes needed</t>
  </si>
  <si>
    <t>Qserv nodes deployed today</t>
  </si>
  <si>
    <t>Surplus / (gap)</t>
  </si>
  <si>
    <t>Node count uses the usable TB/node ramp (43.2 → 86.4 → 172.8) as drives densify; replication already included.</t>
  </si>
  <si>
    <t>Per-Facility Calculator — fill in the yellow cells for your facility</t>
  </si>
  <si>
    <t>Data release year to evaluate (LOY 1-10)</t>
  </si>
  <si>
    <t>LOY2 = FY2027 = DR1</t>
  </si>
  <si>
    <t>France (CC-IN2P3)</t>
  </si>
  <si>
    <t>UK (UKDF)</t>
  </si>
  <si>
    <t>Your DF</t>
  </si>
  <si>
    <t>DRP share (aggregate; per-year on Facility Split)</t>
  </si>
  <si>
    <t>Cores per node</t>
  </si>
  <si>
    <t>Processing window (days)</t>
  </si>
  <si>
    <t>Provisioned capacity (core-hrs/yr)</t>
  </si>
  <si>
    <t>COMPUTED</t>
  </si>
  <si>
    <t>Total DRP work (selected LOY) — core-hours</t>
  </si>
  <si>
    <t>Your facility — core-hours</t>
  </si>
  <si>
    <t>Your facility — node-days</t>
  </si>
  <si>
    <t>Your facility — peak concurrent cores</t>
  </si>
  <si>
    <t>Nodes needed</t>
  </si>
  <si>
    <t>Utilization vs provisioned</t>
  </si>
  <si>
    <t>'Your DF' column contains example values (10% share, 128-core nodes, 10M ch/yr) — replace with your facility's numbers. Yellow = edit; green = linked to Key Numbers tab. USDF provisioned capacity uses Milano-equivalent 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</si>
</sst>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00000"/>
    <numFmt numFmtId="165" formatCode="0.000"/>
    <numFmt numFmtId="166" formatCode="0.00&quot; PB&quot;"/>
    <numFmt numFmtId="167" formatCode="#,##0&quot; node-days&quot;"/>
    <numFmt numFmtId="168" formatCode="#,##0&quot; core-hrs&quot;"/>
    <numFmt numFmtId="169" formatCode="#,##0&quot; core-hrs/yr&quot;"/>
    <numFmt numFmtId="170" formatCode="0.0"/>
    <numFmt numFmtId="171" formatCode="#,##0&quot; TB&quot;"/>
    <numFmt numFmtId="172" formatCode="#,##0,,&quot; M ch/window&quot;"/>
    <numFmt numFmtId="173" formatCode="0.0%"/>
    <numFmt numFmtId="174" formatCode="#,##0&quot; node-days/yr&quot;"/>
    <numFmt numFmtId="175" formatCode="#,##0&quot; HW threads&quot;"/>
    <numFmt numFmtId="176" formatCode="#,##0&quot; TB eff (ZFS)&quot;"/>
    <numFmt numFmtId="177" formatCode="0.000&quot; PB&quot;"/>
    <numFmt numFmtId="178" formatCode="0.0%&quot; of a survey-year&quot;"/>
    <numFmt numFmtId="179" formatCode="#,##0.0"/>
  </numFmts>
  <fonts count="9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/>
    <xf numFmtId="3" fontId="5" fillId="0" borderId="1" xfId="0" applyNumberFormat="1" applyFont="1" applyBorder="1"/>
    <xf numFmtId="0" fontId="0" fillId="0" borderId="1" xfId="0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3" fontId="4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2" fontId="5" fillId="3" borderId="1" xfId="0" applyNumberFormat="1" applyFont="1" applyFill="1" applyBorder="1"/>
    <xf numFmtId="10" fontId="5" fillId="0" borderId="1" xfId="0" applyNumberFormat="1" applyFont="1" applyBorder="1"/>
    <xf numFmtId="169" fontId="6" fillId="0" borderId="1" xfId="0" applyNumberFormat="1" applyFont="1" applyBorder="1"/>
    <xf numFmtId="170" fontId="5" fillId="0" borderId="1" xfId="0" applyNumberFormat="1" applyFont="1" applyBorder="1"/>
    <xf numFmtId="4" fontId="5" fillId="0" borderId="1" xfId="0" applyNumberFormat="1" applyFont="1" applyBorder="1"/>
    <xf numFmtId="171" fontId="6" fillId="0" borderId="1" xfId="0" applyNumberFormat="1" applyFont="1" applyBorder="1"/>
    <xf numFmtId="9" fontId="5" fillId="3" borderId="1" xfId="0" applyNumberFormat="1" applyFont="1" applyFill="1" applyBorder="1"/>
    <xf numFmtId="172" fontId="6" fillId="0" borderId="1" xfId="0" applyNumberFormat="1" applyFont="1" applyBorder="1"/>
    <xf numFmtId="173" fontId="5" fillId="3" borderId="1" xfId="0" applyNumberFormat="1" applyFont="1" applyFill="1" applyBorder="1"/>
    <xf numFmtId="173" fontId="4" fillId="0" borderId="1" xfId="0" applyNumberFormat="1" applyFont="1" applyBorder="1"/>
    <xf numFmtId="174" fontId="6" fillId="0" borderId="1" xfId="0" applyNumberFormat="1" applyFont="1" applyBorder="1"/>
    <xf numFmtId="0" fontId="5" fillId="0" borderId="1" xfId="0" applyFont="1" applyBorder="1"/>
    <xf numFmtId="175" fontId="6" fillId="0" borderId="1" xfId="0" applyNumberFormat="1" applyFont="1" applyBorder="1"/>
    <xf numFmtId="176" fontId="6" fillId="0" borderId="1" xfId="0" applyNumberFormat="1" applyFont="1" applyBorder="1"/>
    <xf numFmtId="177" fontId="6" fillId="0" borderId="1" xfId="0" applyNumberFormat="1" applyFont="1" applyBorder="1"/>
    <xf numFmtId="170" fontId="5" fillId="3" borderId="1" xfId="0" applyNumberFormat="1" applyFont="1" applyFill="1" applyBorder="1"/>
    <xf numFmtId="178" fontId="6" fillId="0" borderId="1" xfId="0" applyNumberFormat="1" applyFont="1" applyBorder="1"/>
    <xf numFmtId="0" fontId="7" fillId="4" borderId="0" xfId="0" applyFont="1" applyFill="1"/>
    <xf numFmtId="0" fontId="4" fillId="0" borderId="0" xfId="0" applyFont="1"/>
    <xf numFmtId="2" fontId="8" fillId="0" borderId="0" xfId="0" applyNumberFormat="1" applyFont="1"/>
    <xf numFmtId="2" fontId="4" fillId="0" borderId="0" xfId="0" applyNumberFormat="1" applyFont="1"/>
    <xf numFmtId="3" fontId="8" fillId="0" borderId="0" xfId="0" applyNumberFormat="1" applyFont="1"/>
    <xf numFmtId="3" fontId="4" fillId="0" borderId="0" xfId="0" applyNumberFormat="1" applyFont="1"/>
    <xf numFmtId="173" fontId="4" fillId="0" borderId="0" xfId="0" applyNumberFormat="1" applyFont="1"/>
    <xf numFmtId="4" fontId="4" fillId="0" borderId="0" xfId="0" applyNumberFormat="1" applyFont="1"/>
    <xf numFmtId="0" fontId="6" fillId="0" borderId="0" xfId="0" applyFont="1"/>
    <xf numFmtId="3" fontId="6" fillId="0" borderId="0" xfId="0" applyNumberFormat="1" applyFont="1"/>
    <xf numFmtId="179" fontId="4" fillId="0" borderId="0" xfId="0" applyNumberFormat="1" applyFont="1"/>
    <xf numFmtId="0" fontId="2" fillId="0" borderId="0" xfId="0" applyFont="1" applyAlignment="1">
      <alignment wrapText="1"/>
    </xf>
    <xf numFmtId="173" fontId="5" fillId="3" borderId="0" xfId="0" applyNumberFormat="1" applyFont="1" applyFill="1"/>
    <xf numFmtId="0" fontId="7" fillId="0" borderId="0" xfId="0" applyFont="1"/>
    <xf numFmtId="173" fontId="0" fillId="0" borderId="0" xfId="0" applyNumberFormat="1"/>
    <xf numFmtId="179" fontId="8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4" fontId="6" fillId="0" borderId="0" xfId="0" applyNumberFormat="1" applyFont="1"/>
    <xf numFmtId="0" fontId="5" fillId="3" borderId="0" xfId="0" applyFont="1" applyFill="1"/>
    <xf numFmtId="173" fontId="8" fillId="0" borderId="0" xfId="0" applyNumberFormat="1" applyFont="1"/>
    <xf numFmtId="3" fontId="5" fillId="3" borderId="0" xfId="0" applyNumberFormat="1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16" customWidth="1"/>
    <col min="3" max="3" width="14" customWidth="1"/>
    <col min="4" max="4" width="22" customWidth="1"/>
  </cols>
  <sheetData>
    <row r="1" spans="1:4" ht="17" x14ac:dyDescent="0.2">
      <c r="A1" s="2" t="s">
        <v>0</v>
      </c>
    </row>
    <row r="2" spans="1:4" x14ac:dyDescent="0.2">
      <c r="A2" s="3" t="s">
        <v>1</v>
      </c>
    </row>
    <row r="3" spans="1:4" x14ac:dyDescent="0.2">
      <c r="A3" s="4" t="s">
        <v>2</v>
      </c>
      <c r="B3" s="5"/>
      <c r="C3" s="5"/>
      <c r="D3" s="5"/>
    </row>
    <row r="4" spans="1:4" x14ac:dyDescent="0.2">
      <c r="A4" s="6" t="s">
        <v>3</v>
      </c>
      <c r="B4" s="7">
        <v>300</v>
      </c>
      <c r="C4" s="6" t="s">
        <v>4</v>
      </c>
      <c r="D4" s="8"/>
    </row>
    <row r="5" spans="1:4" x14ac:dyDescent="0.2">
      <c r="A5" s="6" t="s">
        <v>5</v>
      </c>
      <c r="B5" s="7">
        <v>700</v>
      </c>
      <c r="C5" s="6" t="s">
        <v>6</v>
      </c>
      <c r="D5" s="8"/>
    </row>
    <row r="6" spans="1:4" x14ac:dyDescent="0.2">
      <c r="A6" s="6" t="s">
        <v>7</v>
      </c>
      <c r="B6" s="9">
        <v>8.1922200000000001E-3</v>
      </c>
      <c r="C6" s="6" t="s">
        <v>8</v>
      </c>
      <c r="D6" s="8"/>
    </row>
    <row r="7" spans="1:4" x14ac:dyDescent="0.2">
      <c r="A7" s="6" t="s">
        <v>9</v>
      </c>
      <c r="B7" s="10">
        <v>0.46400000000000002</v>
      </c>
      <c r="C7" s="6" t="s">
        <v>10</v>
      </c>
      <c r="D7" s="8"/>
    </row>
    <row r="8" spans="1:4" x14ac:dyDescent="0.2">
      <c r="A8" s="6" t="s">
        <v>11</v>
      </c>
      <c r="B8" s="11">
        <f>B4*B5*B6*B7</f>
        <v>798.24991680000005</v>
      </c>
      <c r="C8" s="6" t="s">
        <v>8</v>
      </c>
      <c r="D8" s="12">
        <f>B8/1000</f>
        <v>0.79824991680000001</v>
      </c>
    </row>
    <row r="9" spans="1:4" x14ac:dyDescent="0.2">
      <c r="A9" s="4" t="s">
        <v>12</v>
      </c>
      <c r="B9" s="5"/>
      <c r="C9" s="5"/>
      <c r="D9" s="5"/>
    </row>
    <row r="10" spans="1:4" x14ac:dyDescent="0.2">
      <c r="A10" s="6" t="s">
        <v>13</v>
      </c>
      <c r="B10" s="7">
        <v>20571</v>
      </c>
      <c r="C10" s="6" t="s">
        <v>14</v>
      </c>
      <c r="D10" s="8"/>
    </row>
    <row r="11" spans="1:4" x14ac:dyDescent="0.2">
      <c r="A11" s="6" t="s">
        <v>15</v>
      </c>
      <c r="B11" s="7">
        <v>16416000</v>
      </c>
      <c r="C11" s="6" t="s">
        <v>16</v>
      </c>
      <c r="D11" s="13">
        <f>B11/(24*B13)</f>
        <v>5700</v>
      </c>
    </row>
    <row r="12" spans="1:4" x14ac:dyDescent="0.2">
      <c r="A12" s="6" t="s">
        <v>17</v>
      </c>
      <c r="B12" s="7">
        <v>970</v>
      </c>
      <c r="C12" s="6" t="s">
        <v>18</v>
      </c>
      <c r="D12" s="14">
        <f>B12*B13*24</f>
        <v>2793600</v>
      </c>
    </row>
    <row r="13" spans="1:4" x14ac:dyDescent="0.2">
      <c r="A13" s="6" t="s">
        <v>19</v>
      </c>
      <c r="B13" s="7">
        <v>120</v>
      </c>
      <c r="C13" s="6" t="s">
        <v>20</v>
      </c>
      <c r="D13" s="8"/>
    </row>
    <row r="14" spans="1:4" x14ac:dyDescent="0.2">
      <c r="A14" s="6" t="s">
        <v>21</v>
      </c>
      <c r="B14" s="7">
        <v>200</v>
      </c>
      <c r="C14" s="6" t="s">
        <v>22</v>
      </c>
      <c r="D14" s="8"/>
    </row>
    <row r="15" spans="1:4" x14ac:dyDescent="0.2">
      <c r="A15" s="6" t="s">
        <v>23</v>
      </c>
      <c r="B15" s="15">
        <v>1.35</v>
      </c>
      <c r="C15" s="6" t="s">
        <v>24</v>
      </c>
      <c r="D15" s="8"/>
    </row>
    <row r="16" spans="1:4" x14ac:dyDescent="0.2">
      <c r="A16" s="6" t="s">
        <v>25</v>
      </c>
      <c r="B16" s="16">
        <v>0.01</v>
      </c>
      <c r="C16" s="6" t="s">
        <v>26</v>
      </c>
      <c r="D16" s="8"/>
    </row>
    <row r="17" spans="1:4" x14ac:dyDescent="0.2">
      <c r="A17" s="6" t="s">
        <v>27</v>
      </c>
      <c r="B17" s="7">
        <v>55</v>
      </c>
      <c r="C17" s="6" t="s">
        <v>28</v>
      </c>
      <c r="D17" s="17">
        <f>B17*B13*24</f>
        <v>158400</v>
      </c>
    </row>
    <row r="18" spans="1:4" x14ac:dyDescent="0.2">
      <c r="A18" s="6" t="s">
        <v>29</v>
      </c>
      <c r="B18" s="18">
        <v>1.5</v>
      </c>
      <c r="C18" s="6" t="s">
        <v>24</v>
      </c>
      <c r="D18" s="8"/>
    </row>
    <row r="19" spans="1:4" x14ac:dyDescent="0.2">
      <c r="A19" s="4" t="s">
        <v>30</v>
      </c>
      <c r="B19" s="5"/>
      <c r="C19" s="5"/>
      <c r="D19" s="5"/>
    </row>
    <row r="20" spans="1:4" x14ac:dyDescent="0.2">
      <c r="A20" s="6" t="s">
        <v>31</v>
      </c>
      <c r="B20" s="19">
        <v>7.43</v>
      </c>
      <c r="C20" s="6" t="s">
        <v>32</v>
      </c>
      <c r="D20" s="20">
        <f>B20*1000</f>
        <v>7430</v>
      </c>
    </row>
    <row r="21" spans="1:4" x14ac:dyDescent="0.2">
      <c r="A21" s="6" t="s">
        <v>33</v>
      </c>
      <c r="B21" s="19">
        <v>0.32</v>
      </c>
      <c r="C21" s="6" t="s">
        <v>32</v>
      </c>
      <c r="D21" s="20">
        <f>B21*1000</f>
        <v>320</v>
      </c>
    </row>
    <row r="22" spans="1:4" x14ac:dyDescent="0.2">
      <c r="A22" s="6" t="s">
        <v>34</v>
      </c>
      <c r="B22" s="7">
        <v>47</v>
      </c>
      <c r="C22" s="6" t="s">
        <v>32</v>
      </c>
      <c r="D22" s="20">
        <f>B22*1000</f>
        <v>47000</v>
      </c>
    </row>
    <row r="23" spans="1:4" x14ac:dyDescent="0.2">
      <c r="A23" s="6" t="s">
        <v>35</v>
      </c>
      <c r="B23" s="18">
        <v>1.6</v>
      </c>
      <c r="C23" s="6" t="s">
        <v>32</v>
      </c>
      <c r="D23" s="20">
        <f>B23*1000</f>
        <v>1600</v>
      </c>
    </row>
    <row r="24" spans="1:4" x14ac:dyDescent="0.2">
      <c r="A24" s="6" t="s">
        <v>36</v>
      </c>
      <c r="B24" s="21">
        <v>0.35</v>
      </c>
      <c r="C24" s="6" t="s">
        <v>26</v>
      </c>
      <c r="D24" s="8"/>
    </row>
    <row r="25" spans="1:4" x14ac:dyDescent="0.2">
      <c r="A25" s="4" t="s">
        <v>37</v>
      </c>
      <c r="B25" s="5"/>
      <c r="C25" s="5"/>
      <c r="D25" s="5"/>
    </row>
    <row r="26" spans="1:4" x14ac:dyDescent="0.2">
      <c r="A26" s="6" t="s">
        <v>38</v>
      </c>
      <c r="B26" s="7">
        <v>145</v>
      </c>
      <c r="C26" s="6" t="s">
        <v>39</v>
      </c>
      <c r="D26" s="8"/>
    </row>
    <row r="27" spans="1:4" x14ac:dyDescent="0.2">
      <c r="A27" s="6" t="s">
        <v>40</v>
      </c>
      <c r="B27" s="11">
        <f>B26*B13</f>
        <v>17400</v>
      </c>
      <c r="C27" s="6" t="s">
        <v>20</v>
      </c>
      <c r="D27" s="22">
        <f>B27*B14*24</f>
        <v>83520000</v>
      </c>
    </row>
    <row r="28" spans="1:4" x14ac:dyDescent="0.2">
      <c r="A28" s="6" t="s">
        <v>41</v>
      </c>
      <c r="B28" s="7">
        <v>30</v>
      </c>
      <c r="C28" s="6" t="s">
        <v>32</v>
      </c>
      <c r="D28" s="20">
        <f>B28*1000</f>
        <v>30000</v>
      </c>
    </row>
    <row r="29" spans="1:4" x14ac:dyDescent="0.2">
      <c r="A29" s="4" t="s">
        <v>42</v>
      </c>
      <c r="B29" s="5"/>
      <c r="C29" s="5"/>
      <c r="D29" s="5"/>
    </row>
    <row r="30" spans="1:4" x14ac:dyDescent="0.2">
      <c r="A30" s="6" t="s">
        <v>43</v>
      </c>
      <c r="B30" s="23">
        <v>0.4</v>
      </c>
      <c r="C30" s="6" t="s">
        <v>44</v>
      </c>
      <c r="D30" s="8"/>
    </row>
    <row r="31" spans="1:4" x14ac:dyDescent="0.2">
      <c r="A31" s="6" t="s">
        <v>45</v>
      </c>
      <c r="B31" s="23">
        <v>0.25</v>
      </c>
      <c r="C31" s="6" t="s">
        <v>44</v>
      </c>
      <c r="D31" s="8"/>
    </row>
    <row r="32" spans="1:4" x14ac:dyDescent="0.2">
      <c r="A32" s="6" t="s">
        <v>46</v>
      </c>
      <c r="B32" s="24">
        <f>1-B30-B31</f>
        <v>0.35</v>
      </c>
      <c r="C32" s="6" t="s">
        <v>44</v>
      </c>
      <c r="D32" s="8"/>
    </row>
    <row r="33" spans="1:4" x14ac:dyDescent="0.2">
      <c r="A33" s="6" t="s">
        <v>47</v>
      </c>
      <c r="B33" s="7">
        <v>40000000</v>
      </c>
      <c r="C33" s="6" t="s">
        <v>48</v>
      </c>
      <c r="D33" s="25">
        <f>B33/(24*B13)</f>
        <v>13888.888888888889</v>
      </c>
    </row>
    <row r="34" spans="1:4" x14ac:dyDescent="0.2">
      <c r="A34" s="6" t="s">
        <v>49</v>
      </c>
      <c r="B34" s="26" t="s">
        <v>50</v>
      </c>
      <c r="C34" s="6" t="s">
        <v>48</v>
      </c>
      <c r="D34" s="8"/>
    </row>
    <row r="35" spans="1:4" x14ac:dyDescent="0.2">
      <c r="A35" s="4" t="s">
        <v>51</v>
      </c>
      <c r="B35" s="5"/>
      <c r="C35" s="5"/>
      <c r="D35" s="5"/>
    </row>
    <row r="36" spans="1:4" x14ac:dyDescent="0.2">
      <c r="A36" s="6" t="s">
        <v>52</v>
      </c>
      <c r="B36" s="7">
        <v>92</v>
      </c>
      <c r="C36" s="6" t="s">
        <v>39</v>
      </c>
      <c r="D36" s="8"/>
    </row>
    <row r="37" spans="1:4" x14ac:dyDescent="0.2">
      <c r="A37" s="6" t="s">
        <v>53</v>
      </c>
      <c r="B37" s="7">
        <v>32</v>
      </c>
      <c r="C37" s="6" t="s">
        <v>20</v>
      </c>
      <c r="D37" s="27">
        <v>64</v>
      </c>
    </row>
    <row r="38" spans="1:4" x14ac:dyDescent="0.2">
      <c r="A38" s="6" t="s">
        <v>54</v>
      </c>
      <c r="B38" s="7">
        <v>256</v>
      </c>
      <c r="C38" s="6" t="s">
        <v>55</v>
      </c>
      <c r="D38" s="8"/>
    </row>
    <row r="39" spans="1:4" x14ac:dyDescent="0.2">
      <c r="A39" s="6" t="s">
        <v>56</v>
      </c>
      <c r="B39" s="7">
        <v>32</v>
      </c>
      <c r="C39" s="6" t="s">
        <v>8</v>
      </c>
      <c r="D39" s="28">
        <f>B39*2</f>
        <v>64</v>
      </c>
    </row>
    <row r="40" spans="1:4" x14ac:dyDescent="0.2">
      <c r="A40" s="6" t="s">
        <v>57</v>
      </c>
      <c r="B40" s="7">
        <v>3</v>
      </c>
      <c r="C40" s="6" t="s">
        <v>24</v>
      </c>
      <c r="D40" s="8"/>
    </row>
    <row r="41" spans="1:4" x14ac:dyDescent="0.2">
      <c r="A41" s="6" t="s">
        <v>58</v>
      </c>
      <c r="B41" s="7">
        <v>3</v>
      </c>
      <c r="C41" s="6" t="s">
        <v>59</v>
      </c>
      <c r="D41" s="8"/>
    </row>
    <row r="42" spans="1:4" x14ac:dyDescent="0.2">
      <c r="A42" s="6" t="s">
        <v>60</v>
      </c>
      <c r="B42" s="7">
        <v>1896</v>
      </c>
      <c r="C42" s="6" t="s">
        <v>61</v>
      </c>
      <c r="D42" s="8"/>
    </row>
    <row r="43" spans="1:4" x14ac:dyDescent="0.2">
      <c r="A43" s="6" t="s">
        <v>62</v>
      </c>
      <c r="B43" s="7">
        <v>21005</v>
      </c>
      <c r="C43" s="6" t="s">
        <v>61</v>
      </c>
      <c r="D43" s="8"/>
    </row>
    <row r="44" spans="1:4" x14ac:dyDescent="0.2">
      <c r="A44" s="6" t="s">
        <v>63</v>
      </c>
      <c r="B44" s="7">
        <v>467</v>
      </c>
      <c r="C44" s="6" t="s">
        <v>61</v>
      </c>
      <c r="D44" s="8"/>
    </row>
    <row r="45" spans="1:4" x14ac:dyDescent="0.2">
      <c r="A45" s="6" t="s">
        <v>64</v>
      </c>
      <c r="B45" s="7">
        <v>41</v>
      </c>
      <c r="C45" s="6" t="s">
        <v>61</v>
      </c>
      <c r="D45" s="8"/>
    </row>
    <row r="46" spans="1:4" x14ac:dyDescent="0.2">
      <c r="A46" s="4" t="s">
        <v>65</v>
      </c>
      <c r="B46" s="5"/>
      <c r="C46" s="5"/>
      <c r="D46" s="5"/>
    </row>
    <row r="47" spans="1:4" x14ac:dyDescent="0.2">
      <c r="A47" s="6" t="s">
        <v>66</v>
      </c>
      <c r="B47" s="19">
        <v>59.15</v>
      </c>
      <c r="C47" s="6" t="s">
        <v>8</v>
      </c>
      <c r="D47" s="29">
        <f>B47/1000</f>
        <v>5.9150000000000001E-2</v>
      </c>
    </row>
    <row r="48" spans="1:4" x14ac:dyDescent="0.2">
      <c r="A48" s="6" t="s">
        <v>67</v>
      </c>
      <c r="B48" s="7">
        <v>28</v>
      </c>
      <c r="C48" s="6" t="s">
        <v>8</v>
      </c>
      <c r="D48" s="8"/>
    </row>
    <row r="49" spans="1:4" x14ac:dyDescent="0.2">
      <c r="A49" s="6" t="s">
        <v>68</v>
      </c>
      <c r="B49" s="7">
        <v>11</v>
      </c>
      <c r="C49" s="6" t="s">
        <v>8</v>
      </c>
      <c r="D49" s="8"/>
    </row>
    <row r="50" spans="1:4" x14ac:dyDescent="0.2">
      <c r="A50" s="6" t="s">
        <v>69</v>
      </c>
      <c r="B50" s="7">
        <v>18</v>
      </c>
      <c r="C50" s="6" t="s">
        <v>8</v>
      </c>
      <c r="D50" s="8"/>
    </row>
    <row r="51" spans="1:4" x14ac:dyDescent="0.2">
      <c r="A51" s="4" t="s">
        <v>70</v>
      </c>
      <c r="B51" s="5"/>
      <c r="C51" s="5"/>
      <c r="D51" s="5"/>
    </row>
    <row r="52" spans="1:4" x14ac:dyDescent="0.2">
      <c r="A52" s="6" t="s">
        <v>71</v>
      </c>
      <c r="B52" s="7">
        <v>110</v>
      </c>
      <c r="C52" s="6" t="s">
        <v>39</v>
      </c>
      <c r="D52" s="8"/>
    </row>
    <row r="53" spans="1:4" x14ac:dyDescent="0.2">
      <c r="A53" s="6" t="s">
        <v>72</v>
      </c>
      <c r="B53" s="7">
        <v>35</v>
      </c>
      <c r="C53" s="6" t="s">
        <v>39</v>
      </c>
      <c r="D53" s="8"/>
    </row>
    <row r="54" spans="1:4" x14ac:dyDescent="0.2">
      <c r="A54" s="6" t="s">
        <v>73</v>
      </c>
      <c r="B54" s="30">
        <v>2</v>
      </c>
      <c r="C54" s="6" t="s">
        <v>24</v>
      </c>
      <c r="D54" s="8"/>
    </row>
    <row r="55" spans="1:4" x14ac:dyDescent="0.2">
      <c r="A55" s="6" t="s">
        <v>74</v>
      </c>
      <c r="B55" s="11">
        <f>(B52+B53*B54)*B13</f>
        <v>21600</v>
      </c>
      <c r="C55" s="6" t="s">
        <v>20</v>
      </c>
      <c r="D55" s="8"/>
    </row>
    <row r="56" spans="1:4" x14ac:dyDescent="0.2">
      <c r="A56" s="6" t="s">
        <v>75</v>
      </c>
      <c r="B56" s="7">
        <v>30000</v>
      </c>
      <c r="C56" s="6" t="s">
        <v>6</v>
      </c>
      <c r="D56" s="31">
        <f>B56/(B4*B5)</f>
        <v>0.14285714285714285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L30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2" width="12" customWidth="1"/>
    <col min="3" max="12" width="13" customWidth="1"/>
  </cols>
  <sheetData>
    <row r="1" spans="1:12" ht="17" x14ac:dyDescent="0.2">
      <c r="A1" s="2" t="s">
        <v>76</v>
      </c>
    </row>
    <row r="2" spans="1:12" x14ac:dyDescent="0.2">
      <c r="A2" s="32" t="s">
        <v>77</v>
      </c>
      <c r="B2" s="32" t="s">
        <v>78</v>
      </c>
      <c r="C2" s="32" t="s">
        <v>79</v>
      </c>
      <c r="D2" s="32" t="s">
        <v>80</v>
      </c>
      <c r="E2" s="32" t="s">
        <v>81</v>
      </c>
      <c r="F2" s="32" t="s">
        <v>82</v>
      </c>
      <c r="G2" s="32" t="s">
        <v>83</v>
      </c>
      <c r="H2" s="32" t="s">
        <v>84</v>
      </c>
      <c r="I2" s="32" t="s">
        <v>85</v>
      </c>
      <c r="J2" s="32" t="s">
        <v>86</v>
      </c>
      <c r="K2" s="32" t="s">
        <v>87</v>
      </c>
      <c r="L2" s="32" t="s">
        <v>88</v>
      </c>
    </row>
    <row r="3" spans="1:12" x14ac:dyDescent="0.2">
      <c r="A3" s="33" t="s">
        <v>89</v>
      </c>
      <c r="C3" s="33" t="s">
        <v>90</v>
      </c>
      <c r="D3" s="33" t="s">
        <v>91</v>
      </c>
      <c r="E3" s="33" t="s">
        <v>92</v>
      </c>
      <c r="F3" s="33" t="s">
        <v>93</v>
      </c>
      <c r="G3" s="33" t="s">
        <v>94</v>
      </c>
      <c r="H3" s="33" t="s">
        <v>95</v>
      </c>
      <c r="I3" s="33" t="s">
        <v>96</v>
      </c>
      <c r="J3" s="33" t="s">
        <v>97</v>
      </c>
      <c r="K3" s="33" t="s">
        <v>98</v>
      </c>
      <c r="L3" s="33" t="s">
        <v>99</v>
      </c>
    </row>
    <row r="4" spans="1:12" x14ac:dyDescent="0.2">
      <c r="A4" s="3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</row>
    <row r="6" spans="1:12" x14ac:dyDescent="0.2">
      <c r="A6" s="4" t="s">
        <v>111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">
      <c r="A7" s="33" t="s">
        <v>112</v>
      </c>
      <c r="B7" s="33" t="s">
        <v>59</v>
      </c>
      <c r="C7" s="34">
        <f>'Key Numbers'!$B$56/('Key Numbers'!$B$4*'Key Numbers'!$B$5)</f>
        <v>0.14285714285714285</v>
      </c>
      <c r="D7" s="35">
        <v>1</v>
      </c>
      <c r="E7" s="35">
        <v>2</v>
      </c>
      <c r="F7" s="35">
        <v>3</v>
      </c>
      <c r="G7" s="35">
        <v>4</v>
      </c>
      <c r="H7" s="35">
        <v>5</v>
      </c>
      <c r="I7" s="35">
        <v>6</v>
      </c>
      <c r="J7" s="35">
        <v>7</v>
      </c>
      <c r="K7" s="35">
        <v>8</v>
      </c>
      <c r="L7" s="35">
        <v>9</v>
      </c>
    </row>
    <row r="8" spans="1:12" x14ac:dyDescent="0.2">
      <c r="A8" s="33" t="s">
        <v>113</v>
      </c>
      <c r="B8" s="33" t="s">
        <v>8</v>
      </c>
      <c r="C8" s="36">
        <f>C7*'Key Numbers'!$B$8</f>
        <v>114.03570240000001</v>
      </c>
      <c r="D8" s="36">
        <f>D7*'Key Numbers'!$B$8</f>
        <v>798.24991680000005</v>
      </c>
      <c r="E8" s="36">
        <f>E7*'Key Numbers'!$B$8</f>
        <v>1596.4998336000001</v>
      </c>
      <c r="F8" s="36">
        <f>F7*'Key Numbers'!$B$8</f>
        <v>2394.7497504000003</v>
      </c>
      <c r="G8" s="36">
        <f>G7*'Key Numbers'!$B$8</f>
        <v>3192.9996672000002</v>
      </c>
      <c r="H8" s="36">
        <f>H7*'Key Numbers'!$B$8</f>
        <v>3991.2495840000001</v>
      </c>
      <c r="I8" s="36">
        <f>I7*'Key Numbers'!$B$8</f>
        <v>4789.4995008000005</v>
      </c>
      <c r="J8" s="36">
        <f>J7*'Key Numbers'!$B$8</f>
        <v>5587.7494176</v>
      </c>
      <c r="K8" s="36">
        <f>K7*'Key Numbers'!$B$8</f>
        <v>6385.9993344000004</v>
      </c>
      <c r="L8" s="36">
        <f>L7*'Key Numbers'!$B$8</f>
        <v>7184.2492512000008</v>
      </c>
    </row>
    <row r="9" spans="1:12" x14ac:dyDescent="0.2">
      <c r="A9" s="33" t="s">
        <v>114</v>
      </c>
      <c r="B9" s="33" t="s">
        <v>16</v>
      </c>
      <c r="C9" s="37">
        <f>'Key Numbers'!$B$12*'Key Numbers'!$B$13*24</f>
        <v>2793600</v>
      </c>
      <c r="D9" s="37">
        <f>D8*'Key Numbers'!$B$10+D7*'Key Numbers'!$B$17*'Key Numbers'!$B$13*24</f>
        <v>16579199.038492801</v>
      </c>
      <c r="E9" s="37">
        <f>E8*'Key Numbers'!$B$10+E7*'Key Numbers'!$B$17*'Key Numbers'!$B$13*24</f>
        <v>33158398.076985601</v>
      </c>
      <c r="F9" s="37">
        <f>F8*'Key Numbers'!$B$10+F7*'Key Numbers'!$B$17*'Key Numbers'!$B$13*24</f>
        <v>49737597.115478404</v>
      </c>
      <c r="G9" s="37">
        <f>G8*'Key Numbers'!$B$10+G7*'Key Numbers'!$B$17*'Key Numbers'!$B$13*24</f>
        <v>66316796.153971203</v>
      </c>
      <c r="H9" s="37">
        <f>H8*'Key Numbers'!$B$10+H7*'Key Numbers'!$B$17*'Key Numbers'!$B$13*24</f>
        <v>82895995.192464009</v>
      </c>
      <c r="I9" s="37">
        <f>I8*'Key Numbers'!$B$10+I7*'Key Numbers'!$B$17*'Key Numbers'!$B$13*24</f>
        <v>99475194.230956808</v>
      </c>
      <c r="J9" s="37">
        <f>J8*'Key Numbers'!$B$10+J7*'Key Numbers'!$B$17*'Key Numbers'!$B$13*24</f>
        <v>116054393.26944961</v>
      </c>
      <c r="K9" s="37">
        <f>K8*'Key Numbers'!$B$10+K7*'Key Numbers'!$B$17*'Key Numbers'!$B$13*24</f>
        <v>132633592.30794241</v>
      </c>
      <c r="L9" s="37">
        <f>L8*'Key Numbers'!$B$10+L7*'Key Numbers'!$B$17*'Key Numbers'!$B$13*24</f>
        <v>149212791.34643522</v>
      </c>
    </row>
    <row r="10" spans="1:12" x14ac:dyDescent="0.2">
      <c r="A10" s="33" t="s">
        <v>115</v>
      </c>
      <c r="B10" s="33" t="s">
        <v>18</v>
      </c>
      <c r="C10" s="37">
        <f>C9/(24*'Key Numbers'!$B$13)</f>
        <v>970</v>
      </c>
      <c r="D10" s="37">
        <f>D9/(24*'Key Numbers'!$B$13)</f>
        <v>5756.6663328100003</v>
      </c>
      <c r="E10" s="37">
        <f>E9/(24*'Key Numbers'!$B$13)</f>
        <v>11513.332665620001</v>
      </c>
      <c r="F10" s="37">
        <f>F9/(24*'Key Numbers'!$B$13)</f>
        <v>17269.998998430001</v>
      </c>
      <c r="G10" s="37">
        <f>G9/(24*'Key Numbers'!$B$13)</f>
        <v>23026.665331240001</v>
      </c>
      <c r="H10" s="37">
        <f>H9/(24*'Key Numbers'!$B$13)</f>
        <v>28783.331664050002</v>
      </c>
      <c r="I10" s="37">
        <f>I9/(24*'Key Numbers'!$B$13)</f>
        <v>34539.997996860002</v>
      </c>
      <c r="J10" s="37">
        <f>J9/(24*'Key Numbers'!$B$13)</f>
        <v>40296.664329670006</v>
      </c>
      <c r="K10" s="37">
        <f>K9/(24*'Key Numbers'!$B$13)</f>
        <v>46053.330662480003</v>
      </c>
      <c r="L10" s="37">
        <f>L9/(24*'Key Numbers'!$B$13)</f>
        <v>51809.996995290006</v>
      </c>
    </row>
    <row r="11" spans="1:12" x14ac:dyDescent="0.2">
      <c r="A11" s="33" t="s">
        <v>116</v>
      </c>
      <c r="B11" s="33" t="s">
        <v>20</v>
      </c>
      <c r="C11" s="37">
        <f>ROUND(C9/('Key Numbers'!$B$14*24)*'Key Numbers'!$B$15*(1+'Key Numbers'!$B$16),0)</f>
        <v>794</v>
      </c>
      <c r="D11" s="37">
        <f>ROUND(D9/('Key Numbers'!$B$14*24)*'Key Numbers'!$B$15*(1+'Key Numbers'!$B$16),0)</f>
        <v>4710</v>
      </c>
      <c r="E11" s="37">
        <f>ROUND(E9/('Key Numbers'!$B$14*24)*'Key Numbers'!$B$15*(1+'Key Numbers'!$B$16),0)</f>
        <v>9419</v>
      </c>
      <c r="F11" s="37">
        <f>ROUND(F9/('Key Numbers'!$B$14*24)*'Key Numbers'!$B$15*(1+'Key Numbers'!$B$16),0)</f>
        <v>14129</v>
      </c>
      <c r="G11" s="37">
        <f>ROUND(G9/('Key Numbers'!$B$14*24)*'Key Numbers'!$B$15*(1+'Key Numbers'!$B$16),0)</f>
        <v>18838</v>
      </c>
      <c r="H11" s="37">
        <f>ROUND(H9/('Key Numbers'!$B$14*24)*'Key Numbers'!$B$15*(1+'Key Numbers'!$B$16),0)</f>
        <v>23548</v>
      </c>
      <c r="I11" s="37">
        <f>ROUND(I9/('Key Numbers'!$B$14*24)*'Key Numbers'!$B$15*(1+'Key Numbers'!$B$16),0)</f>
        <v>28257</v>
      </c>
      <c r="J11" s="37">
        <f>ROUND(J9/('Key Numbers'!$B$14*24)*'Key Numbers'!$B$15*(1+'Key Numbers'!$B$16),0)</f>
        <v>32967</v>
      </c>
      <c r="K11" s="37">
        <f>ROUND(K9/('Key Numbers'!$B$14*24)*'Key Numbers'!$B$15*(1+'Key Numbers'!$B$16),0)</f>
        <v>37676</v>
      </c>
      <c r="L11" s="37">
        <f>ROUND(L9/('Key Numbers'!$B$14*24)*'Key Numbers'!$B$15*(1+'Key Numbers'!$B$16),0)</f>
        <v>42386</v>
      </c>
    </row>
    <row r="12" spans="1:12" x14ac:dyDescent="0.2">
      <c r="A12" s="33" t="s">
        <v>117</v>
      </c>
      <c r="B12" s="33" t="s">
        <v>16</v>
      </c>
      <c r="C12" s="37">
        <f>C9*'Key Numbers'!$B$18</f>
        <v>4190400</v>
      </c>
      <c r="D12" s="37">
        <f>D9*'Key Numbers'!$B$18</f>
        <v>24868798.557739202</v>
      </c>
      <c r="E12" s="37">
        <f>E9*'Key Numbers'!$B$18</f>
        <v>49737597.115478404</v>
      </c>
      <c r="F12" s="37">
        <f>F9*'Key Numbers'!$B$18</f>
        <v>74606395.67321761</v>
      </c>
      <c r="G12" s="37">
        <f>G9*'Key Numbers'!$B$18</f>
        <v>99475194.230956808</v>
      </c>
      <c r="H12" s="37">
        <f>H9*'Key Numbers'!$B$18</f>
        <v>124343992.78869602</v>
      </c>
      <c r="I12" s="37">
        <f>I9*'Key Numbers'!$B$18</f>
        <v>149212791.34643522</v>
      </c>
      <c r="J12" s="37">
        <f>J9*'Key Numbers'!$B$18</f>
        <v>174081589.90417442</v>
      </c>
      <c r="K12" s="37">
        <f>K9*'Key Numbers'!$B$18</f>
        <v>198950388.46191362</v>
      </c>
      <c r="L12" s="37">
        <f>L9*'Key Numbers'!$B$18</f>
        <v>223819187.01965284</v>
      </c>
    </row>
    <row r="13" spans="1:12" x14ac:dyDescent="0.2">
      <c r="A13" s="33" t="s">
        <v>118</v>
      </c>
      <c r="B13" s="33" t="s">
        <v>39</v>
      </c>
      <c r="C13" s="37">
        <f>ROUNDUP(C11/'Key Numbers'!$B$13,0)</f>
        <v>7</v>
      </c>
      <c r="D13" s="37">
        <f>ROUNDUP(D11/'Key Numbers'!$B$13,0)</f>
        <v>40</v>
      </c>
      <c r="E13" s="37">
        <f>ROUNDUP(E11/'Key Numbers'!$B$13,0)</f>
        <v>79</v>
      </c>
      <c r="F13" s="37">
        <f>ROUNDUP(F11/'Key Numbers'!$B$13,0)</f>
        <v>118</v>
      </c>
      <c r="G13" s="37">
        <f>ROUNDUP(G11/'Key Numbers'!$B$13,0)</f>
        <v>157</v>
      </c>
      <c r="H13" s="37">
        <f>ROUNDUP(H11/'Key Numbers'!$B$13,0)</f>
        <v>197</v>
      </c>
      <c r="I13" s="37">
        <f>ROUNDUP(I11/'Key Numbers'!$B$13,0)</f>
        <v>236</v>
      </c>
      <c r="J13" s="37">
        <f>ROUNDUP(J11/'Key Numbers'!$B$13,0)</f>
        <v>275</v>
      </c>
      <c r="K13" s="37">
        <f>ROUNDUP(K11/'Key Numbers'!$B$13,0)</f>
        <v>314</v>
      </c>
      <c r="L13" s="37">
        <f>ROUNDUP(L11/'Key Numbers'!$B$13,0)</f>
        <v>354</v>
      </c>
    </row>
    <row r="14" spans="1:12" x14ac:dyDescent="0.2">
      <c r="A14" s="33" t="s">
        <v>119</v>
      </c>
      <c r="B14" s="33" t="s">
        <v>20</v>
      </c>
      <c r="C14" s="36">
        <f>'Key Numbers'!$B$27</f>
        <v>17400</v>
      </c>
      <c r="D14" s="36">
        <f>'Key Numbers'!$B$27</f>
        <v>17400</v>
      </c>
      <c r="E14" s="36">
        <f>'Key Numbers'!$B$27</f>
        <v>17400</v>
      </c>
      <c r="F14" s="36">
        <f>'Key Numbers'!$B$27</f>
        <v>17400</v>
      </c>
      <c r="G14" s="36">
        <f>'Key Numbers'!$B$27</f>
        <v>17400</v>
      </c>
      <c r="H14" s="36">
        <f>'Key Numbers'!$B$27</f>
        <v>17400</v>
      </c>
      <c r="I14" s="36">
        <f>'Key Numbers'!$B$27</f>
        <v>17400</v>
      </c>
      <c r="J14" s="36">
        <f>'Key Numbers'!$B$27</f>
        <v>17400</v>
      </c>
      <c r="K14" s="36">
        <f>'Key Numbers'!$B$27</f>
        <v>17400</v>
      </c>
      <c r="L14" s="36">
        <f>'Key Numbers'!$B$27</f>
        <v>17400</v>
      </c>
    </row>
    <row r="15" spans="1:12" x14ac:dyDescent="0.2">
      <c r="A15" s="33" t="s">
        <v>120</v>
      </c>
      <c r="B15" s="33" t="s">
        <v>20</v>
      </c>
      <c r="C15" s="36">
        <f>'Key Numbers'!$B$55</f>
        <v>21600</v>
      </c>
      <c r="D15" s="36">
        <f>'Key Numbers'!$B$55</f>
        <v>21600</v>
      </c>
      <c r="E15" s="36">
        <f>'Key Numbers'!$B$55</f>
        <v>21600</v>
      </c>
      <c r="F15" s="36">
        <f>'Key Numbers'!$B$55</f>
        <v>21600</v>
      </c>
      <c r="G15" s="36">
        <f>'Key Numbers'!$B$55</f>
        <v>21600</v>
      </c>
      <c r="H15" s="36">
        <f>'Key Numbers'!$B$55</f>
        <v>21600</v>
      </c>
      <c r="I15" s="36">
        <f>'Key Numbers'!$B$55</f>
        <v>21600</v>
      </c>
      <c r="J15" s="36">
        <f>'Key Numbers'!$B$55</f>
        <v>21600</v>
      </c>
      <c r="K15" s="36">
        <f>'Key Numbers'!$B$55</f>
        <v>21600</v>
      </c>
      <c r="L15" s="36">
        <f>'Key Numbers'!$B$55</f>
        <v>21600</v>
      </c>
    </row>
    <row r="16" spans="1:12" x14ac:dyDescent="0.2">
      <c r="A16" s="33" t="s">
        <v>121</v>
      </c>
      <c r="B16" s="33" t="s">
        <v>44</v>
      </c>
      <c r="C16" s="38">
        <f t="shared" ref="C16:L16" si="0">C11/C15</f>
        <v>3.6759259259259262E-2</v>
      </c>
      <c r="D16" s="38">
        <f t="shared" si="0"/>
        <v>0.21805555555555556</v>
      </c>
      <c r="E16" s="38">
        <f t="shared" si="0"/>
        <v>0.43606481481481479</v>
      </c>
      <c r="F16" s="38">
        <f t="shared" si="0"/>
        <v>0.65412037037037041</v>
      </c>
      <c r="G16" s="38">
        <f t="shared" si="0"/>
        <v>0.87212962962962959</v>
      </c>
      <c r="H16" s="38">
        <f t="shared" si="0"/>
        <v>1.0901851851851851</v>
      </c>
      <c r="I16" s="38">
        <f t="shared" si="0"/>
        <v>1.3081944444444444</v>
      </c>
      <c r="J16" s="38">
        <f t="shared" si="0"/>
        <v>1.5262500000000001</v>
      </c>
      <c r="K16" s="38">
        <f t="shared" si="0"/>
        <v>1.7442592592592592</v>
      </c>
      <c r="L16" s="38">
        <f t="shared" si="0"/>
        <v>1.9623148148148148</v>
      </c>
    </row>
    <row r="18" spans="1:12" x14ac:dyDescent="0.2">
      <c r="A18" s="4" t="s">
        <v>122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">
      <c r="A19" s="33" t="s">
        <v>123</v>
      </c>
      <c r="B19" s="33" t="s">
        <v>32</v>
      </c>
      <c r="C19" s="39">
        <f t="shared" ref="C19:L19" si="1">C8/1000</f>
        <v>0.11403570240000001</v>
      </c>
      <c r="D19" s="39">
        <f t="shared" si="1"/>
        <v>0.79824991680000001</v>
      </c>
      <c r="E19" s="39">
        <f t="shared" si="1"/>
        <v>1.5964998336</v>
      </c>
      <c r="F19" s="39">
        <f t="shared" si="1"/>
        <v>2.3947497504000004</v>
      </c>
      <c r="G19" s="39">
        <f t="shared" si="1"/>
        <v>3.1929996672000001</v>
      </c>
      <c r="H19" s="39">
        <f t="shared" si="1"/>
        <v>3.9912495840000002</v>
      </c>
      <c r="I19" s="39">
        <f t="shared" si="1"/>
        <v>4.7894995008000008</v>
      </c>
      <c r="J19" s="39">
        <f t="shared" si="1"/>
        <v>5.5877494176000004</v>
      </c>
      <c r="K19" s="39">
        <f t="shared" si="1"/>
        <v>6.3859993344000001</v>
      </c>
      <c r="L19" s="39">
        <f t="shared" si="1"/>
        <v>7.1842492512000007</v>
      </c>
    </row>
    <row r="20" spans="1:12" x14ac:dyDescent="0.2">
      <c r="A20" s="40" t="s">
        <v>124</v>
      </c>
      <c r="B20" s="40" t="s">
        <v>8</v>
      </c>
      <c r="C20" s="41">
        <f t="shared" ref="C20:L20" si="2">C19*1000</f>
        <v>114.03570240000001</v>
      </c>
      <c r="D20" s="41">
        <f t="shared" si="2"/>
        <v>798.24991680000005</v>
      </c>
      <c r="E20" s="41">
        <f t="shared" si="2"/>
        <v>1596.4998336000001</v>
      </c>
      <c r="F20" s="41">
        <f t="shared" si="2"/>
        <v>2394.7497504000003</v>
      </c>
      <c r="G20" s="41">
        <f t="shared" si="2"/>
        <v>3192.9996672000002</v>
      </c>
      <c r="H20" s="41">
        <f t="shared" si="2"/>
        <v>3991.2495840000001</v>
      </c>
      <c r="I20" s="41">
        <f t="shared" si="2"/>
        <v>4789.4995008000005</v>
      </c>
      <c r="J20" s="41">
        <f t="shared" si="2"/>
        <v>5587.7494176</v>
      </c>
      <c r="K20" s="41">
        <f t="shared" si="2"/>
        <v>6385.9993344000004</v>
      </c>
      <c r="L20" s="41">
        <f t="shared" si="2"/>
        <v>7184.2492512000008</v>
      </c>
    </row>
    <row r="21" spans="1:12" x14ac:dyDescent="0.2">
      <c r="A21" s="33" t="s">
        <v>125</v>
      </c>
      <c r="B21" s="33" t="s">
        <v>32</v>
      </c>
      <c r="C21" s="42">
        <f>'Key Numbers'!$B$20</f>
        <v>7.43</v>
      </c>
      <c r="D21" s="42">
        <f>'Key Numbers'!$B$22*D7</f>
        <v>47</v>
      </c>
      <c r="E21" s="42">
        <f>'Key Numbers'!$B$22*E7</f>
        <v>94</v>
      </c>
      <c r="F21" s="42">
        <f>'Key Numbers'!$B$22*F7</f>
        <v>141</v>
      </c>
      <c r="G21" s="42">
        <f>'Key Numbers'!$B$22*G7</f>
        <v>188</v>
      </c>
      <c r="H21" s="42">
        <f>'Key Numbers'!$B$22*H7</f>
        <v>235</v>
      </c>
      <c r="I21" s="42">
        <f>'Key Numbers'!$B$22*I7</f>
        <v>282</v>
      </c>
      <c r="J21" s="42">
        <f>'Key Numbers'!$B$22*J7</f>
        <v>329</v>
      </c>
      <c r="K21" s="42">
        <f>'Key Numbers'!$B$22*K7</f>
        <v>376</v>
      </c>
      <c r="L21" s="42">
        <f>'Key Numbers'!$B$22*L7</f>
        <v>423</v>
      </c>
    </row>
    <row r="22" spans="1:12" x14ac:dyDescent="0.2">
      <c r="A22" s="40" t="s">
        <v>124</v>
      </c>
      <c r="B22" s="40" t="s">
        <v>8</v>
      </c>
      <c r="C22" s="41">
        <f t="shared" ref="C22:L22" si="3">C21*1000</f>
        <v>7430</v>
      </c>
      <c r="D22" s="41">
        <f t="shared" si="3"/>
        <v>47000</v>
      </c>
      <c r="E22" s="41">
        <f t="shared" si="3"/>
        <v>94000</v>
      </c>
      <c r="F22" s="41">
        <f t="shared" si="3"/>
        <v>141000</v>
      </c>
      <c r="G22" s="41">
        <f t="shared" si="3"/>
        <v>188000</v>
      </c>
      <c r="H22" s="41">
        <f t="shared" si="3"/>
        <v>235000</v>
      </c>
      <c r="I22" s="41">
        <f t="shared" si="3"/>
        <v>282000</v>
      </c>
      <c r="J22" s="41">
        <f t="shared" si="3"/>
        <v>329000</v>
      </c>
      <c r="K22" s="41">
        <f t="shared" si="3"/>
        <v>376000</v>
      </c>
      <c r="L22" s="41">
        <f t="shared" si="3"/>
        <v>423000</v>
      </c>
    </row>
    <row r="23" spans="1:12" x14ac:dyDescent="0.2">
      <c r="A23" s="33" t="s">
        <v>126</v>
      </c>
      <c r="B23" s="33" t="s">
        <v>32</v>
      </c>
      <c r="C23" s="42">
        <f>'Key Numbers'!$B$21</f>
        <v>0.32</v>
      </c>
      <c r="D23" s="42">
        <f>'Key Numbers'!$B$23*D7</f>
        <v>1.6</v>
      </c>
      <c r="E23" s="42">
        <f>'Key Numbers'!$B$23*E7</f>
        <v>3.2</v>
      </c>
      <c r="F23" s="42">
        <f>'Key Numbers'!$B$23*F7</f>
        <v>4.8000000000000007</v>
      </c>
      <c r="G23" s="42">
        <f>'Key Numbers'!$B$23*G7</f>
        <v>6.4</v>
      </c>
      <c r="H23" s="42">
        <f>'Key Numbers'!$B$23*H7</f>
        <v>8</v>
      </c>
      <c r="I23" s="42">
        <f>'Key Numbers'!$B$23*I7</f>
        <v>9.6000000000000014</v>
      </c>
      <c r="J23" s="42">
        <f>'Key Numbers'!$B$23*J7</f>
        <v>11.200000000000001</v>
      </c>
      <c r="K23" s="42">
        <f>'Key Numbers'!$B$23*K7</f>
        <v>12.8</v>
      </c>
      <c r="L23" s="42">
        <f>'Key Numbers'!$B$23*L7</f>
        <v>14.4</v>
      </c>
    </row>
    <row r="24" spans="1:12" x14ac:dyDescent="0.2">
      <c r="A24" s="40" t="s">
        <v>124</v>
      </c>
      <c r="B24" s="40" t="s">
        <v>8</v>
      </c>
      <c r="C24" s="41">
        <f t="shared" ref="C24:L24" si="4">C23*1000</f>
        <v>320</v>
      </c>
      <c r="D24" s="41">
        <f t="shared" si="4"/>
        <v>1600</v>
      </c>
      <c r="E24" s="41">
        <f t="shared" si="4"/>
        <v>3200</v>
      </c>
      <c r="F24" s="41">
        <f t="shared" si="4"/>
        <v>4800.0000000000009</v>
      </c>
      <c r="G24" s="41">
        <f t="shared" si="4"/>
        <v>6400</v>
      </c>
      <c r="H24" s="41">
        <f t="shared" si="4"/>
        <v>8000</v>
      </c>
      <c r="I24" s="41">
        <f t="shared" si="4"/>
        <v>9600.0000000000018</v>
      </c>
      <c r="J24" s="41">
        <f t="shared" si="4"/>
        <v>11200.000000000002</v>
      </c>
      <c r="K24" s="41">
        <f t="shared" si="4"/>
        <v>12800</v>
      </c>
      <c r="L24" s="41">
        <f t="shared" si="4"/>
        <v>14400</v>
      </c>
    </row>
    <row r="25" spans="1:12" x14ac:dyDescent="0.2">
      <c r="A25" s="33" t="s">
        <v>127</v>
      </c>
      <c r="B25" s="33" t="s">
        <v>32</v>
      </c>
      <c r="C25" s="42">
        <f>C21*'Key Numbers'!$B$24</f>
        <v>2.6004999999999998</v>
      </c>
      <c r="D25" s="42">
        <f>D21*'Key Numbers'!$B$24</f>
        <v>16.45</v>
      </c>
      <c r="E25" s="42">
        <f>E21*'Key Numbers'!$B$24</f>
        <v>32.9</v>
      </c>
      <c r="F25" s="42">
        <f>F21*'Key Numbers'!$B$24</f>
        <v>49.349999999999994</v>
      </c>
      <c r="G25" s="42">
        <f>G21*'Key Numbers'!$B$24</f>
        <v>65.8</v>
      </c>
      <c r="H25" s="42">
        <f>H21*'Key Numbers'!$B$24</f>
        <v>82.25</v>
      </c>
      <c r="I25" s="42">
        <f>I21*'Key Numbers'!$B$24</f>
        <v>98.699999999999989</v>
      </c>
      <c r="J25" s="42">
        <f>J21*'Key Numbers'!$B$24</f>
        <v>115.14999999999999</v>
      </c>
      <c r="K25" s="42">
        <f>K21*'Key Numbers'!$B$24</f>
        <v>131.6</v>
      </c>
      <c r="L25" s="42">
        <f>L21*'Key Numbers'!$B$24</f>
        <v>148.04999999999998</v>
      </c>
    </row>
    <row r="26" spans="1:12" x14ac:dyDescent="0.2">
      <c r="A26" s="40" t="s">
        <v>124</v>
      </c>
      <c r="B26" s="40" t="s">
        <v>8</v>
      </c>
      <c r="C26" s="41">
        <f t="shared" ref="C26:L26" si="5">C25*1000</f>
        <v>2600.5</v>
      </c>
      <c r="D26" s="41">
        <f t="shared" si="5"/>
        <v>16450</v>
      </c>
      <c r="E26" s="41">
        <f t="shared" si="5"/>
        <v>32900</v>
      </c>
      <c r="F26" s="41">
        <f t="shared" si="5"/>
        <v>49349.999999999993</v>
      </c>
      <c r="G26" s="41">
        <f t="shared" si="5"/>
        <v>65800</v>
      </c>
      <c r="H26" s="41">
        <f t="shared" si="5"/>
        <v>82250</v>
      </c>
      <c r="I26" s="41">
        <f t="shared" si="5"/>
        <v>98699.999999999985</v>
      </c>
      <c r="J26" s="41">
        <f t="shared" si="5"/>
        <v>115149.99999999999</v>
      </c>
      <c r="K26" s="41">
        <f t="shared" si="5"/>
        <v>131600</v>
      </c>
      <c r="L26" s="41">
        <f t="shared" si="5"/>
        <v>148049.99999999997</v>
      </c>
    </row>
    <row r="27" spans="1:12" x14ac:dyDescent="0.2">
      <c r="A27" s="33" t="s">
        <v>128</v>
      </c>
      <c r="B27" s="33" t="s">
        <v>32</v>
      </c>
      <c r="C27" s="36">
        <f>'Key Numbers'!$B$28</f>
        <v>30</v>
      </c>
      <c r="D27" s="36">
        <f>'Key Numbers'!$B$28</f>
        <v>30</v>
      </c>
      <c r="E27" s="36">
        <f>'Key Numbers'!$B$28</f>
        <v>30</v>
      </c>
      <c r="F27" s="36">
        <f>'Key Numbers'!$B$28</f>
        <v>30</v>
      </c>
      <c r="G27" s="36">
        <f>'Key Numbers'!$B$28</f>
        <v>30</v>
      </c>
      <c r="H27" s="36">
        <f>'Key Numbers'!$B$28</f>
        <v>30</v>
      </c>
      <c r="I27" s="36">
        <f>'Key Numbers'!$B$28</f>
        <v>30</v>
      </c>
      <c r="J27" s="36">
        <f>'Key Numbers'!$B$28</f>
        <v>30</v>
      </c>
      <c r="K27" s="36">
        <f>'Key Numbers'!$B$28</f>
        <v>30</v>
      </c>
      <c r="L27" s="36">
        <f>'Key Numbers'!$B$28</f>
        <v>30</v>
      </c>
    </row>
    <row r="28" spans="1:12" x14ac:dyDescent="0.2">
      <c r="A28" s="40" t="s">
        <v>124</v>
      </c>
      <c r="B28" s="40" t="s">
        <v>8</v>
      </c>
      <c r="C28" s="41">
        <f t="shared" ref="C28:L28" si="6">C27*1000</f>
        <v>30000</v>
      </c>
      <c r="D28" s="41">
        <f t="shared" si="6"/>
        <v>30000</v>
      </c>
      <c r="E28" s="41">
        <f t="shared" si="6"/>
        <v>30000</v>
      </c>
      <c r="F28" s="41">
        <f t="shared" si="6"/>
        <v>30000</v>
      </c>
      <c r="G28" s="41">
        <f t="shared" si="6"/>
        <v>30000</v>
      </c>
      <c r="H28" s="41">
        <f t="shared" si="6"/>
        <v>30000</v>
      </c>
      <c r="I28" s="41">
        <f t="shared" si="6"/>
        <v>30000</v>
      </c>
      <c r="J28" s="41">
        <f t="shared" si="6"/>
        <v>30000</v>
      </c>
      <c r="K28" s="41">
        <f t="shared" si="6"/>
        <v>30000</v>
      </c>
      <c r="L28" s="41">
        <f t="shared" si="6"/>
        <v>30000</v>
      </c>
    </row>
    <row r="30" spans="1:12" ht="118" x14ac:dyDescent="0.2">
      <c r="A30" s="43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42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2" width="12" customWidth="1"/>
    <col min="3" max="12" width="13" customWidth="1"/>
  </cols>
  <sheetData>
    <row r="1" spans="1:12" ht="17" x14ac:dyDescent="0.2">
      <c r="A1" s="2" t="s">
        <v>130</v>
      </c>
    </row>
    <row r="2" spans="1:12" x14ac:dyDescent="0.2">
      <c r="A2" s="32" t="s">
        <v>77</v>
      </c>
      <c r="B2" s="32" t="s">
        <v>78</v>
      </c>
      <c r="C2" s="32" t="s">
        <v>79</v>
      </c>
      <c r="D2" s="32" t="s">
        <v>80</v>
      </c>
      <c r="E2" s="32" t="s">
        <v>81</v>
      </c>
      <c r="F2" s="32" t="s">
        <v>82</v>
      </c>
      <c r="G2" s="32" t="s">
        <v>83</v>
      </c>
      <c r="H2" s="32" t="s">
        <v>84</v>
      </c>
      <c r="I2" s="32" t="s">
        <v>85</v>
      </c>
      <c r="J2" s="32" t="s">
        <v>86</v>
      </c>
      <c r="K2" s="32" t="s">
        <v>87</v>
      </c>
      <c r="L2" s="32" t="s">
        <v>88</v>
      </c>
    </row>
    <row r="3" spans="1:12" x14ac:dyDescent="0.2">
      <c r="A3" s="33" t="s">
        <v>89</v>
      </c>
      <c r="C3" s="33" t="s">
        <v>90</v>
      </c>
      <c r="D3" s="33" t="s">
        <v>91</v>
      </c>
      <c r="E3" s="33" t="s">
        <v>92</v>
      </c>
      <c r="F3" s="33" t="s">
        <v>93</v>
      </c>
      <c r="G3" s="33" t="s">
        <v>94</v>
      </c>
      <c r="H3" s="33" t="s">
        <v>95</v>
      </c>
      <c r="I3" s="33" t="s">
        <v>96</v>
      </c>
      <c r="J3" s="33" t="s">
        <v>97</v>
      </c>
      <c r="K3" s="33" t="s">
        <v>98</v>
      </c>
      <c r="L3" s="33" t="s">
        <v>99</v>
      </c>
    </row>
    <row r="4" spans="1:12" x14ac:dyDescent="0.2">
      <c r="A4" s="3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</row>
    <row r="6" spans="1:12" x14ac:dyDescent="0.2">
      <c r="A6" s="4" t="s">
        <v>131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">
      <c r="A7" s="33" t="s">
        <v>132</v>
      </c>
      <c r="B7" s="33" t="s">
        <v>44</v>
      </c>
      <c r="C7" s="38">
        <f t="shared" ref="C7:L7" si="0">1-C8-C9</f>
        <v>1</v>
      </c>
      <c r="D7" s="38">
        <f t="shared" si="0"/>
        <v>0.19999999999999996</v>
      </c>
      <c r="E7" s="38">
        <f t="shared" si="0"/>
        <v>0.19999999999999996</v>
      </c>
      <c r="F7" s="38">
        <f t="shared" si="0"/>
        <v>0.36</v>
      </c>
      <c r="G7" s="38">
        <f t="shared" si="0"/>
        <v>0.36</v>
      </c>
      <c r="H7" s="38">
        <f t="shared" si="0"/>
        <v>0.36</v>
      </c>
      <c r="I7" s="38">
        <f t="shared" si="0"/>
        <v>0.36</v>
      </c>
      <c r="J7" s="38">
        <f t="shared" si="0"/>
        <v>0.36</v>
      </c>
      <c r="K7" s="38">
        <f t="shared" si="0"/>
        <v>0.36</v>
      </c>
      <c r="L7" s="38">
        <f t="shared" si="0"/>
        <v>0.36</v>
      </c>
    </row>
    <row r="8" spans="1:12" x14ac:dyDescent="0.2">
      <c r="A8" s="33" t="s">
        <v>43</v>
      </c>
      <c r="B8" s="33" t="s">
        <v>44</v>
      </c>
      <c r="C8" s="44">
        <v>0</v>
      </c>
      <c r="D8" s="44">
        <v>0.4</v>
      </c>
      <c r="E8" s="44">
        <v>0.4</v>
      </c>
      <c r="F8" s="44">
        <v>0.4</v>
      </c>
      <c r="G8" s="44">
        <v>0.4</v>
      </c>
      <c r="H8" s="44">
        <v>0.4</v>
      </c>
      <c r="I8" s="44">
        <v>0.4</v>
      </c>
      <c r="J8" s="44">
        <v>0.4</v>
      </c>
      <c r="K8" s="44">
        <v>0.4</v>
      </c>
      <c r="L8" s="44">
        <v>0.4</v>
      </c>
    </row>
    <row r="9" spans="1:12" x14ac:dyDescent="0.2">
      <c r="A9" s="33" t="s">
        <v>133</v>
      </c>
      <c r="B9" s="33" t="s">
        <v>44</v>
      </c>
      <c r="C9" s="44">
        <v>0</v>
      </c>
      <c r="D9" s="44">
        <v>0.4</v>
      </c>
      <c r="E9" s="44">
        <v>0.4</v>
      </c>
      <c r="F9" s="44">
        <v>0.24</v>
      </c>
      <c r="G9" s="44">
        <v>0.24</v>
      </c>
      <c r="H9" s="44">
        <v>0.24</v>
      </c>
      <c r="I9" s="44">
        <v>0.24</v>
      </c>
      <c r="J9" s="44">
        <v>0.24</v>
      </c>
      <c r="K9" s="44">
        <v>0.24</v>
      </c>
      <c r="L9" s="44">
        <v>0.24</v>
      </c>
    </row>
    <row r="10" spans="1:12" x14ac:dyDescent="0.2">
      <c r="A10" s="45" t="s">
        <v>134</v>
      </c>
      <c r="B10" s="46">
        <f>SUMPRODUCT(D9:L9,'All at USDF'!D7:L7)/SUM('All at USDF'!D7:L7)</f>
        <v>0.25066666666666665</v>
      </c>
      <c r="D10" s="3" t="s">
        <v>135</v>
      </c>
    </row>
    <row r="12" spans="1:12" x14ac:dyDescent="0.2">
      <c r="A12" s="4" t="s">
        <v>136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">
      <c r="A13" s="33" t="s">
        <v>137</v>
      </c>
      <c r="B13" s="33" t="s">
        <v>16</v>
      </c>
      <c r="C13" s="36">
        <f>'All at USDF'!C9</f>
        <v>2793600</v>
      </c>
      <c r="D13" s="36">
        <f>'All at USDF'!D9</f>
        <v>16579199.038492801</v>
      </c>
      <c r="E13" s="36">
        <f>'All at USDF'!E9</f>
        <v>33158398.076985601</v>
      </c>
      <c r="F13" s="36">
        <f>'All at USDF'!F9</f>
        <v>49737597.115478404</v>
      </c>
      <c r="G13" s="36">
        <f>'All at USDF'!G9</f>
        <v>66316796.153971203</v>
      </c>
      <c r="H13" s="36">
        <f>'All at USDF'!H9</f>
        <v>82895995.192464009</v>
      </c>
      <c r="I13" s="36">
        <f>'All at USDF'!I9</f>
        <v>99475194.230956808</v>
      </c>
      <c r="J13" s="36">
        <f>'All at USDF'!J9</f>
        <v>116054393.26944961</v>
      </c>
      <c r="K13" s="36">
        <f>'All at USDF'!K9</f>
        <v>132633592.30794241</v>
      </c>
      <c r="L13" s="36">
        <f>'All at USDF'!L9</f>
        <v>149212791.34643522</v>
      </c>
    </row>
    <row r="14" spans="1:12" x14ac:dyDescent="0.2">
      <c r="A14" s="33" t="s">
        <v>138</v>
      </c>
      <c r="B14" s="33" t="s">
        <v>16</v>
      </c>
      <c r="C14" s="37">
        <f t="shared" ref="C14:L14" si="1">C13*C7</f>
        <v>2793600</v>
      </c>
      <c r="D14" s="37">
        <f t="shared" si="1"/>
        <v>3315839.8076985595</v>
      </c>
      <c r="E14" s="37">
        <f t="shared" si="1"/>
        <v>6631679.615397119</v>
      </c>
      <c r="F14" s="37">
        <f t="shared" si="1"/>
        <v>17905534.961572226</v>
      </c>
      <c r="G14" s="37">
        <f t="shared" si="1"/>
        <v>23874046.615429632</v>
      </c>
      <c r="H14" s="37">
        <f t="shared" si="1"/>
        <v>29842558.269287042</v>
      </c>
      <c r="I14" s="37">
        <f t="shared" si="1"/>
        <v>35811069.923144452</v>
      </c>
      <c r="J14" s="37">
        <f t="shared" si="1"/>
        <v>41779581.577001855</v>
      </c>
      <c r="K14" s="37">
        <f t="shared" si="1"/>
        <v>47748093.230859265</v>
      </c>
      <c r="L14" s="37">
        <f t="shared" si="1"/>
        <v>53716604.884716675</v>
      </c>
    </row>
    <row r="15" spans="1:12" x14ac:dyDescent="0.2">
      <c r="A15" s="33" t="s">
        <v>139</v>
      </c>
      <c r="B15" s="33" t="s">
        <v>16</v>
      </c>
      <c r="C15" s="37">
        <f t="shared" ref="C15:L15" si="2">C13*C8</f>
        <v>0</v>
      </c>
      <c r="D15" s="37">
        <f t="shared" si="2"/>
        <v>6631679.6153971208</v>
      </c>
      <c r="E15" s="37">
        <f t="shared" si="2"/>
        <v>13263359.230794242</v>
      </c>
      <c r="F15" s="37">
        <f t="shared" si="2"/>
        <v>19895038.846191362</v>
      </c>
      <c r="G15" s="37">
        <f t="shared" si="2"/>
        <v>26526718.461588483</v>
      </c>
      <c r="H15" s="37">
        <f t="shared" si="2"/>
        <v>33158398.076985605</v>
      </c>
      <c r="I15" s="37">
        <f t="shared" si="2"/>
        <v>39790077.692382723</v>
      </c>
      <c r="J15" s="37">
        <f t="shared" si="2"/>
        <v>46421757.307779849</v>
      </c>
      <c r="K15" s="37">
        <f t="shared" si="2"/>
        <v>53053436.923176967</v>
      </c>
      <c r="L15" s="37">
        <f t="shared" si="2"/>
        <v>59685116.538574092</v>
      </c>
    </row>
    <row r="16" spans="1:12" x14ac:dyDescent="0.2">
      <c r="A16" s="33" t="s">
        <v>140</v>
      </c>
      <c r="B16" s="33" t="s">
        <v>16</v>
      </c>
      <c r="C16" s="37">
        <f t="shared" ref="C16:L16" si="3">C13*C9</f>
        <v>0</v>
      </c>
      <c r="D16" s="37">
        <f t="shared" si="3"/>
        <v>6631679.6153971208</v>
      </c>
      <c r="E16" s="37">
        <f t="shared" si="3"/>
        <v>13263359.230794242</v>
      </c>
      <c r="F16" s="37">
        <f t="shared" si="3"/>
        <v>11937023.307714816</v>
      </c>
      <c r="G16" s="37">
        <f t="shared" si="3"/>
        <v>15916031.076953089</v>
      </c>
      <c r="H16" s="37">
        <f t="shared" si="3"/>
        <v>19895038.846191362</v>
      </c>
      <c r="I16" s="37">
        <f t="shared" si="3"/>
        <v>23874046.615429632</v>
      </c>
      <c r="J16" s="37">
        <f t="shared" si="3"/>
        <v>27853054.384667903</v>
      </c>
      <c r="K16" s="37">
        <f t="shared" si="3"/>
        <v>31832062.153906178</v>
      </c>
      <c r="L16" s="37">
        <f t="shared" si="3"/>
        <v>35811069.923144452</v>
      </c>
    </row>
    <row r="18" spans="1:12" x14ac:dyDescent="0.2">
      <c r="A18" s="4" t="s">
        <v>141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">
      <c r="A19" s="33" t="s">
        <v>138</v>
      </c>
      <c r="B19" s="33" t="s">
        <v>18</v>
      </c>
      <c r="C19" s="37">
        <f>C14/(24*'Key Numbers'!$B$13)</f>
        <v>970</v>
      </c>
      <c r="D19" s="37">
        <f>D14/(24*'Key Numbers'!$B$13)</f>
        <v>1151.3332665619998</v>
      </c>
      <c r="E19" s="37">
        <f>E14/(24*'Key Numbers'!$B$13)</f>
        <v>2302.6665331239997</v>
      </c>
      <c r="F19" s="37">
        <f>F14/(24*'Key Numbers'!$B$13)</f>
        <v>6217.1996394348007</v>
      </c>
      <c r="G19" s="37">
        <f>G14/(24*'Key Numbers'!$B$13)</f>
        <v>8289.5995192463997</v>
      </c>
      <c r="H19" s="37">
        <f>H14/(24*'Key Numbers'!$B$13)</f>
        <v>10361.999399058001</v>
      </c>
      <c r="I19" s="37">
        <f>I14/(24*'Key Numbers'!$B$13)</f>
        <v>12434.399278869601</v>
      </c>
      <c r="J19" s="37">
        <f>J14/(24*'Key Numbers'!$B$13)</f>
        <v>14506.7991586812</v>
      </c>
      <c r="K19" s="37">
        <f>K14/(24*'Key Numbers'!$B$13)</f>
        <v>16579.199038492799</v>
      </c>
      <c r="L19" s="37">
        <f>L14/(24*'Key Numbers'!$B$13)</f>
        <v>18651.5989183044</v>
      </c>
    </row>
    <row r="20" spans="1:12" x14ac:dyDescent="0.2">
      <c r="A20" s="33" t="s">
        <v>139</v>
      </c>
      <c r="B20" s="33" t="s">
        <v>18</v>
      </c>
      <c r="C20" s="37">
        <f>C15/(24*'Key Numbers'!$B$13)</f>
        <v>0</v>
      </c>
      <c r="D20" s="37">
        <f>D15/(24*'Key Numbers'!$B$13)</f>
        <v>2302.6665331240001</v>
      </c>
      <c r="E20" s="37">
        <f>E15/(24*'Key Numbers'!$B$13)</f>
        <v>4605.3330662480003</v>
      </c>
      <c r="F20" s="37">
        <f>F15/(24*'Key Numbers'!$B$13)</f>
        <v>6907.9995993720004</v>
      </c>
      <c r="G20" s="37">
        <f>G15/(24*'Key Numbers'!$B$13)</f>
        <v>9210.6661324960005</v>
      </c>
      <c r="H20" s="37">
        <f>H15/(24*'Key Numbers'!$B$13)</f>
        <v>11513.332665620002</v>
      </c>
      <c r="I20" s="37">
        <f>I15/(24*'Key Numbers'!$B$13)</f>
        <v>13815.999198744001</v>
      </c>
      <c r="J20" s="37">
        <f>J15/(24*'Key Numbers'!$B$13)</f>
        <v>16118.665731868003</v>
      </c>
      <c r="K20" s="37">
        <f>K15/(24*'Key Numbers'!$B$13)</f>
        <v>18421.332264992001</v>
      </c>
      <c r="L20" s="37">
        <f>L15/(24*'Key Numbers'!$B$13)</f>
        <v>20723.998798116005</v>
      </c>
    </row>
    <row r="21" spans="1:12" x14ac:dyDescent="0.2">
      <c r="A21" s="33" t="s">
        <v>140</v>
      </c>
      <c r="B21" s="33" t="s">
        <v>18</v>
      </c>
      <c r="C21" s="37">
        <f>C16/(24*'Key Numbers'!$B$13)</f>
        <v>0</v>
      </c>
      <c r="D21" s="37">
        <f>D16/(24*'Key Numbers'!$B$13)</f>
        <v>2302.6665331240001</v>
      </c>
      <c r="E21" s="37">
        <f>E16/(24*'Key Numbers'!$B$13)</f>
        <v>4605.3330662480003</v>
      </c>
      <c r="F21" s="37">
        <f>F16/(24*'Key Numbers'!$B$13)</f>
        <v>4144.7997596231999</v>
      </c>
      <c r="G21" s="37">
        <f>G16/(24*'Key Numbers'!$B$13)</f>
        <v>5526.3996794976001</v>
      </c>
      <c r="H21" s="37">
        <f>H16/(24*'Key Numbers'!$B$13)</f>
        <v>6907.9995993720004</v>
      </c>
      <c r="I21" s="37">
        <f>I16/(24*'Key Numbers'!$B$13)</f>
        <v>8289.5995192463997</v>
      </c>
      <c r="J21" s="37">
        <f>J16/(24*'Key Numbers'!$B$13)</f>
        <v>9671.1994391207991</v>
      </c>
      <c r="K21" s="37">
        <f>K16/(24*'Key Numbers'!$B$13)</f>
        <v>11052.7993589952</v>
      </c>
      <c r="L21" s="37">
        <f>L16/(24*'Key Numbers'!$B$13)</f>
        <v>12434.399278869601</v>
      </c>
    </row>
    <row r="23" spans="1:12" x14ac:dyDescent="0.2">
      <c r="A23" s="4" t="s">
        <v>142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33" t="s">
        <v>138</v>
      </c>
      <c r="B24" s="33" t="s">
        <v>20</v>
      </c>
      <c r="C24" s="37">
        <f>ROUND('All at USDF'!C11*C7,0)</f>
        <v>794</v>
      </c>
      <c r="D24" s="37">
        <f>ROUND('All at USDF'!D11*D7,0)</f>
        <v>942</v>
      </c>
      <c r="E24" s="37">
        <f>ROUND('All at USDF'!E11*E7,0)</f>
        <v>1884</v>
      </c>
      <c r="F24" s="37">
        <f>ROUND('All at USDF'!F11*F7,0)</f>
        <v>5086</v>
      </c>
      <c r="G24" s="37">
        <f>ROUND('All at USDF'!G11*G7,0)</f>
        <v>6782</v>
      </c>
      <c r="H24" s="37">
        <f>ROUND('All at USDF'!H11*H7,0)</f>
        <v>8477</v>
      </c>
      <c r="I24" s="37">
        <f>ROUND('All at USDF'!I11*I7,0)</f>
        <v>10173</v>
      </c>
      <c r="J24" s="37">
        <f>ROUND('All at USDF'!J11*J7,0)</f>
        <v>11868</v>
      </c>
      <c r="K24" s="37">
        <f>ROUND('All at USDF'!K11*K7,0)</f>
        <v>13563</v>
      </c>
      <c r="L24" s="37">
        <f>ROUND('All at USDF'!L11*L7,0)</f>
        <v>15259</v>
      </c>
    </row>
    <row r="25" spans="1:12" x14ac:dyDescent="0.2">
      <c r="A25" s="33" t="s">
        <v>139</v>
      </c>
      <c r="B25" s="33" t="s">
        <v>20</v>
      </c>
      <c r="C25" s="37">
        <f>ROUND('All at USDF'!C11*C8,0)</f>
        <v>0</v>
      </c>
      <c r="D25" s="37">
        <f>ROUND('All at USDF'!D11*D8,0)</f>
        <v>1884</v>
      </c>
      <c r="E25" s="37">
        <f>ROUND('All at USDF'!E11*E8,0)</f>
        <v>3768</v>
      </c>
      <c r="F25" s="37">
        <f>ROUND('All at USDF'!F11*F8,0)</f>
        <v>5652</v>
      </c>
      <c r="G25" s="37">
        <f>ROUND('All at USDF'!G11*G8,0)</f>
        <v>7535</v>
      </c>
      <c r="H25" s="37">
        <f>ROUND('All at USDF'!H11*H8,0)</f>
        <v>9419</v>
      </c>
      <c r="I25" s="37">
        <f>ROUND('All at USDF'!I11*I8,0)</f>
        <v>11303</v>
      </c>
      <c r="J25" s="37">
        <f>ROUND('All at USDF'!J11*J8,0)</f>
        <v>13187</v>
      </c>
      <c r="K25" s="37">
        <f>ROUND('All at USDF'!K11*K8,0)</f>
        <v>15070</v>
      </c>
      <c r="L25" s="37">
        <f>ROUND('All at USDF'!L11*L8,0)</f>
        <v>16954</v>
      </c>
    </row>
    <row r="26" spans="1:12" x14ac:dyDescent="0.2">
      <c r="A26" s="33" t="s">
        <v>140</v>
      </c>
      <c r="B26" s="33" t="s">
        <v>20</v>
      </c>
      <c r="C26" s="37">
        <f>ROUND('All at USDF'!C11*C9,0)</f>
        <v>0</v>
      </c>
      <c r="D26" s="37">
        <f>ROUND('All at USDF'!D11*D9,0)</f>
        <v>1884</v>
      </c>
      <c r="E26" s="37">
        <f>ROUND('All at USDF'!E11*E9,0)</f>
        <v>3768</v>
      </c>
      <c r="F26" s="37">
        <f>ROUND('All at USDF'!F11*F9,0)</f>
        <v>3391</v>
      </c>
      <c r="G26" s="37">
        <f>ROUND('All at USDF'!G11*G9,0)</f>
        <v>4521</v>
      </c>
      <c r="H26" s="37">
        <f>ROUND('All at USDF'!H11*H9,0)</f>
        <v>5652</v>
      </c>
      <c r="I26" s="37">
        <f>ROUND('All at USDF'!I11*I9,0)</f>
        <v>6782</v>
      </c>
      <c r="J26" s="37">
        <f>ROUND('All at USDF'!J11*J9,0)</f>
        <v>7912</v>
      </c>
      <c r="K26" s="37">
        <f>ROUND('All at USDF'!K11*K9,0)</f>
        <v>9042</v>
      </c>
      <c r="L26" s="37">
        <f>ROUND('All at USDF'!L11*L9,0)</f>
        <v>10173</v>
      </c>
    </row>
    <row r="28" spans="1:12" x14ac:dyDescent="0.2">
      <c r="A28" s="4" t="s">
        <v>143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">
      <c r="A29" s="33" t="s">
        <v>144</v>
      </c>
      <c r="B29" s="33" t="s">
        <v>44</v>
      </c>
      <c r="C29" s="38">
        <f>C24/'Key Numbers'!$B$55</f>
        <v>3.6759259259259262E-2</v>
      </c>
      <c r="D29" s="38">
        <f>D24/'Key Numbers'!$B$55</f>
        <v>4.3611111111111114E-2</v>
      </c>
      <c r="E29" s="38">
        <f>E24/'Key Numbers'!$B$55</f>
        <v>8.7222222222222229E-2</v>
      </c>
      <c r="F29" s="38">
        <f>F24/'Key Numbers'!$B$55</f>
        <v>0.23546296296296296</v>
      </c>
      <c r="G29" s="38">
        <f>G24/'Key Numbers'!$B$55</f>
        <v>0.31398148148148147</v>
      </c>
      <c r="H29" s="38">
        <f>H24/'Key Numbers'!$B$55</f>
        <v>0.39245370370370369</v>
      </c>
      <c r="I29" s="38">
        <f>I24/'Key Numbers'!$B$55</f>
        <v>0.47097222222222224</v>
      </c>
      <c r="J29" s="38">
        <f>J24/'Key Numbers'!$B$55</f>
        <v>0.5494444444444444</v>
      </c>
      <c r="K29" s="38">
        <f>K24/'Key Numbers'!$B$55</f>
        <v>0.62791666666666668</v>
      </c>
      <c r="L29" s="38">
        <f>L24/'Key Numbers'!$B$55</f>
        <v>0.70643518518518522</v>
      </c>
    </row>
    <row r="30" spans="1:12" x14ac:dyDescent="0.2">
      <c r="A30" s="33" t="s">
        <v>145</v>
      </c>
      <c r="B30" s="33" t="s">
        <v>44</v>
      </c>
      <c r="C30" s="38">
        <f>C16/'Key Numbers'!$B$33</f>
        <v>0</v>
      </c>
      <c r="D30" s="38">
        <f>D16/'Key Numbers'!$B$33</f>
        <v>0.16579199038492803</v>
      </c>
      <c r="E30" s="38">
        <f>E16/'Key Numbers'!$B$33</f>
        <v>0.33158398076985607</v>
      </c>
      <c r="F30" s="38">
        <f>F16/'Key Numbers'!$B$33</f>
        <v>0.29842558269287039</v>
      </c>
      <c r="G30" s="38">
        <f>G16/'Key Numbers'!$B$33</f>
        <v>0.39790077692382725</v>
      </c>
      <c r="H30" s="38">
        <f>H16/'Key Numbers'!$B$33</f>
        <v>0.49737597115478405</v>
      </c>
      <c r="I30" s="38">
        <f>I16/'Key Numbers'!$B$33</f>
        <v>0.59685116538574079</v>
      </c>
      <c r="J30" s="38">
        <f>J16/'Key Numbers'!$B$33</f>
        <v>0.69632635961669753</v>
      </c>
      <c r="K30" s="38">
        <f>K16/'Key Numbers'!$B$33</f>
        <v>0.7958015538476545</v>
      </c>
      <c r="L30" s="38">
        <f>L16/'Key Numbers'!$B$33</f>
        <v>0.89527674807861135</v>
      </c>
    </row>
    <row r="31" spans="1:12" x14ac:dyDescent="0.2">
      <c r="A31" s="33" t="s">
        <v>146</v>
      </c>
      <c r="B31" s="33" t="s">
        <v>16</v>
      </c>
      <c r="C31" s="37">
        <f t="shared" ref="C31:L31" si="4">C15</f>
        <v>0</v>
      </c>
      <c r="D31" s="37">
        <f t="shared" si="4"/>
        <v>6631679.6153971208</v>
      </c>
      <c r="E31" s="37">
        <f t="shared" si="4"/>
        <v>13263359.230794242</v>
      </c>
      <c r="F31" s="37">
        <f t="shared" si="4"/>
        <v>19895038.846191362</v>
      </c>
      <c r="G31" s="37">
        <f t="shared" si="4"/>
        <v>26526718.461588483</v>
      </c>
      <c r="H31" s="37">
        <f t="shared" si="4"/>
        <v>33158398.076985605</v>
      </c>
      <c r="I31" s="37">
        <f t="shared" si="4"/>
        <v>39790077.692382723</v>
      </c>
      <c r="J31" s="37">
        <f t="shared" si="4"/>
        <v>46421757.307779849</v>
      </c>
      <c r="K31" s="37">
        <f t="shared" si="4"/>
        <v>53053436.923176967</v>
      </c>
      <c r="L31" s="37">
        <f t="shared" si="4"/>
        <v>59685116.538574092</v>
      </c>
    </row>
    <row r="32" spans="1:12" x14ac:dyDescent="0.2">
      <c r="A32" s="3" t="s">
        <v>147</v>
      </c>
    </row>
    <row r="34" spans="1:12" x14ac:dyDescent="0.2">
      <c r="A34" s="4" t="s">
        <v>148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33" t="s">
        <v>149</v>
      </c>
      <c r="B35" s="33" t="s">
        <v>32</v>
      </c>
      <c r="C35" s="42">
        <f>'All at USDF'!C25*C8</f>
        <v>0</v>
      </c>
      <c r="D35" s="42">
        <f>'All at USDF'!D25*D8</f>
        <v>6.58</v>
      </c>
      <c r="E35" s="42">
        <f>'All at USDF'!E25*E8</f>
        <v>13.16</v>
      </c>
      <c r="F35" s="42">
        <f>'All at USDF'!F25*F8</f>
        <v>19.739999999999998</v>
      </c>
      <c r="G35" s="42">
        <f>'All at USDF'!G25*G8</f>
        <v>26.32</v>
      </c>
      <c r="H35" s="42">
        <f>'All at USDF'!H25*H8</f>
        <v>32.9</v>
      </c>
      <c r="I35" s="42">
        <f>'All at USDF'!I25*I8</f>
        <v>39.479999999999997</v>
      </c>
      <c r="J35" s="42">
        <f>'All at USDF'!J25*J8</f>
        <v>46.06</v>
      </c>
      <c r="K35" s="42">
        <f>'All at USDF'!K25*K8</f>
        <v>52.64</v>
      </c>
      <c r="L35" s="42">
        <f>'All at USDF'!L25*L8</f>
        <v>59.22</v>
      </c>
    </row>
    <row r="36" spans="1:12" x14ac:dyDescent="0.2">
      <c r="A36" s="40" t="s">
        <v>124</v>
      </c>
      <c r="B36" s="40" t="s">
        <v>8</v>
      </c>
      <c r="C36" s="41">
        <f t="shared" ref="C36:L36" si="5">C35*1000</f>
        <v>0</v>
      </c>
      <c r="D36" s="41">
        <f t="shared" si="5"/>
        <v>6580</v>
      </c>
      <c r="E36" s="41">
        <f t="shared" si="5"/>
        <v>13160</v>
      </c>
      <c r="F36" s="41">
        <f t="shared" si="5"/>
        <v>19740</v>
      </c>
      <c r="G36" s="41">
        <f t="shared" si="5"/>
        <v>26320</v>
      </c>
      <c r="H36" s="41">
        <f t="shared" si="5"/>
        <v>32900</v>
      </c>
      <c r="I36" s="41">
        <f t="shared" si="5"/>
        <v>39480</v>
      </c>
      <c r="J36" s="41">
        <f t="shared" si="5"/>
        <v>46060</v>
      </c>
      <c r="K36" s="41">
        <f t="shared" si="5"/>
        <v>52640</v>
      </c>
      <c r="L36" s="41">
        <f t="shared" si="5"/>
        <v>59220</v>
      </c>
    </row>
    <row r="37" spans="1:12" x14ac:dyDescent="0.2">
      <c r="A37" s="33" t="s">
        <v>150</v>
      </c>
      <c r="B37" s="33" t="s">
        <v>32</v>
      </c>
      <c r="C37" s="42">
        <f>'All at USDF'!C25*C9</f>
        <v>0</v>
      </c>
      <c r="D37" s="42">
        <f>'All at USDF'!D25*D9</f>
        <v>6.58</v>
      </c>
      <c r="E37" s="42">
        <f>'All at USDF'!E25*E9</f>
        <v>13.16</v>
      </c>
      <c r="F37" s="42">
        <f>'All at USDF'!F25*F9</f>
        <v>11.843999999999998</v>
      </c>
      <c r="G37" s="42">
        <f>'All at USDF'!G25*G9</f>
        <v>15.791999999999998</v>
      </c>
      <c r="H37" s="42">
        <f>'All at USDF'!H25*H9</f>
        <v>19.739999999999998</v>
      </c>
      <c r="I37" s="42">
        <f>'All at USDF'!I25*I9</f>
        <v>23.687999999999995</v>
      </c>
      <c r="J37" s="42">
        <f>'All at USDF'!J25*J9</f>
        <v>27.635999999999996</v>
      </c>
      <c r="K37" s="42">
        <f>'All at USDF'!K25*K9</f>
        <v>31.583999999999996</v>
      </c>
      <c r="L37" s="42">
        <f>'All at USDF'!L25*L9</f>
        <v>35.531999999999996</v>
      </c>
    </row>
    <row r="38" spans="1:12" x14ac:dyDescent="0.2">
      <c r="A38" s="40" t="s">
        <v>124</v>
      </c>
      <c r="B38" s="40" t="s">
        <v>8</v>
      </c>
      <c r="C38" s="41">
        <f t="shared" ref="C38:L38" si="6">C37*1000</f>
        <v>0</v>
      </c>
      <c r="D38" s="41">
        <f t="shared" si="6"/>
        <v>6580</v>
      </c>
      <c r="E38" s="41">
        <f t="shared" si="6"/>
        <v>13160</v>
      </c>
      <c r="F38" s="41">
        <f t="shared" si="6"/>
        <v>11843.999999999998</v>
      </c>
      <c r="G38" s="41">
        <f t="shared" si="6"/>
        <v>15791.999999999998</v>
      </c>
      <c r="H38" s="41">
        <f t="shared" si="6"/>
        <v>19740</v>
      </c>
      <c r="I38" s="41">
        <f t="shared" si="6"/>
        <v>23687.999999999996</v>
      </c>
      <c r="J38" s="41">
        <f t="shared" si="6"/>
        <v>27635.999999999996</v>
      </c>
      <c r="K38" s="41">
        <f t="shared" si="6"/>
        <v>31583.999999999996</v>
      </c>
      <c r="L38" s="41">
        <f t="shared" si="6"/>
        <v>35532</v>
      </c>
    </row>
    <row r="39" spans="1:12" x14ac:dyDescent="0.2">
      <c r="A39" s="33" t="s">
        <v>151</v>
      </c>
      <c r="B39" s="33" t="s">
        <v>32</v>
      </c>
      <c r="C39" s="47">
        <f>'All at USDF'!C21</f>
        <v>7.43</v>
      </c>
      <c r="D39" s="47">
        <f>'All at USDF'!D21</f>
        <v>47</v>
      </c>
      <c r="E39" s="47">
        <f>'All at USDF'!E21</f>
        <v>94</v>
      </c>
      <c r="F39" s="47">
        <f>'All at USDF'!F21</f>
        <v>141</v>
      </c>
      <c r="G39" s="47">
        <f>'All at USDF'!G21</f>
        <v>188</v>
      </c>
      <c r="H39" s="47">
        <f>'All at USDF'!H21</f>
        <v>235</v>
      </c>
      <c r="I39" s="47">
        <f>'All at USDF'!I21</f>
        <v>282</v>
      </c>
      <c r="J39" s="47">
        <f>'All at USDF'!J21</f>
        <v>329</v>
      </c>
      <c r="K39" s="47">
        <f>'All at USDF'!K21</f>
        <v>376</v>
      </c>
      <c r="L39" s="47">
        <f>'All at USDF'!L21</f>
        <v>423</v>
      </c>
    </row>
    <row r="40" spans="1:12" x14ac:dyDescent="0.2">
      <c r="A40" s="40" t="s">
        <v>124</v>
      </c>
      <c r="B40" s="40" t="s">
        <v>8</v>
      </c>
      <c r="C40" s="41">
        <f t="shared" ref="C40:L40" si="7">C39*1000</f>
        <v>7430</v>
      </c>
      <c r="D40" s="41">
        <f t="shared" si="7"/>
        <v>47000</v>
      </c>
      <c r="E40" s="41">
        <f t="shared" si="7"/>
        <v>94000</v>
      </c>
      <c r="F40" s="41">
        <f t="shared" si="7"/>
        <v>141000</v>
      </c>
      <c r="G40" s="41">
        <f t="shared" si="7"/>
        <v>188000</v>
      </c>
      <c r="H40" s="41">
        <f t="shared" si="7"/>
        <v>235000</v>
      </c>
      <c r="I40" s="41">
        <f t="shared" si="7"/>
        <v>282000</v>
      </c>
      <c r="J40" s="41">
        <f t="shared" si="7"/>
        <v>329000</v>
      </c>
      <c r="K40" s="41">
        <f t="shared" si="7"/>
        <v>376000</v>
      </c>
      <c r="L40" s="41">
        <f t="shared" si="7"/>
        <v>423000</v>
      </c>
    </row>
    <row r="42" spans="1:12" ht="79" x14ac:dyDescent="0.2">
      <c r="A42" s="43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33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2" width="12" customWidth="1"/>
    <col min="3" max="12" width="13" customWidth="1"/>
  </cols>
  <sheetData>
    <row r="1" spans="1:12" ht="17" x14ac:dyDescent="0.2">
      <c r="A1" s="2" t="s">
        <v>153</v>
      </c>
    </row>
    <row r="3" spans="1:12" x14ac:dyDescent="0.2">
      <c r="A3" s="4" t="s">
        <v>154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27.75" customHeight="1" x14ac:dyDescent="0.2">
      <c r="A4" s="45" t="s">
        <v>155</v>
      </c>
      <c r="C4" s="1" t="s">
        <v>156</v>
      </c>
      <c r="D4" s="1"/>
      <c r="E4" s="1"/>
      <c r="F4" s="1"/>
      <c r="G4" s="1"/>
      <c r="H4" s="1"/>
      <c r="I4" s="1"/>
      <c r="J4" s="1"/>
      <c r="K4" s="1"/>
      <c r="L4" s="1"/>
    </row>
    <row r="5" spans="1:12" ht="27.75" customHeight="1" x14ac:dyDescent="0.2">
      <c r="A5" s="45" t="s">
        <v>157</v>
      </c>
      <c r="C5" s="1" t="s">
        <v>158</v>
      </c>
      <c r="D5" s="1"/>
      <c r="E5" s="1"/>
      <c r="F5" s="1"/>
      <c r="G5" s="1"/>
      <c r="H5" s="1"/>
      <c r="I5" s="1"/>
      <c r="J5" s="1"/>
      <c r="K5" s="1"/>
      <c r="L5" s="1"/>
    </row>
    <row r="6" spans="1:12" ht="27.75" customHeight="1" x14ac:dyDescent="0.2">
      <c r="A6" s="45" t="s">
        <v>159</v>
      </c>
      <c r="C6" s="1" t="s">
        <v>160</v>
      </c>
      <c r="D6" s="1"/>
      <c r="E6" s="1"/>
      <c r="F6" s="1"/>
      <c r="G6" s="1"/>
      <c r="H6" s="1"/>
      <c r="I6" s="1"/>
      <c r="J6" s="1"/>
      <c r="K6" s="1"/>
      <c r="L6" s="1"/>
    </row>
    <row r="7" spans="1:12" ht="27.75" customHeight="1" x14ac:dyDescent="0.2">
      <c r="A7" s="45" t="s">
        <v>161</v>
      </c>
      <c r="C7" s="1" t="s">
        <v>162</v>
      </c>
      <c r="D7" s="1"/>
      <c r="E7" s="1"/>
      <c r="F7" s="1"/>
      <c r="G7" s="1"/>
      <c r="H7" s="1"/>
      <c r="I7" s="1"/>
      <c r="J7" s="1"/>
      <c r="K7" s="1"/>
      <c r="L7" s="1"/>
    </row>
    <row r="8" spans="1:12" ht="27.75" customHeight="1" x14ac:dyDescent="0.2">
      <c r="A8" s="45" t="s">
        <v>163</v>
      </c>
      <c r="C8" s="1" t="s">
        <v>164</v>
      </c>
      <c r="D8" s="1"/>
      <c r="E8" s="1"/>
      <c r="F8" s="1"/>
      <c r="G8" s="1"/>
      <c r="H8" s="1"/>
      <c r="I8" s="1"/>
      <c r="J8" s="1"/>
      <c r="K8" s="1"/>
      <c r="L8" s="1"/>
    </row>
    <row r="9" spans="1:12" ht="27.75" customHeight="1" x14ac:dyDescent="0.2">
      <c r="A9" s="45" t="s">
        <v>165</v>
      </c>
      <c r="C9" s="1" t="s">
        <v>166</v>
      </c>
      <c r="D9" s="1"/>
      <c r="E9" s="1"/>
      <c r="F9" s="1"/>
      <c r="G9" s="1"/>
      <c r="H9" s="1"/>
      <c r="I9" s="1"/>
      <c r="J9" s="1"/>
      <c r="K9" s="1"/>
      <c r="L9" s="1"/>
    </row>
    <row r="10" spans="1:12" ht="27.75" customHeight="1" x14ac:dyDescent="0.2">
      <c r="A10" s="45" t="s">
        <v>167</v>
      </c>
      <c r="C10" s="1" t="s">
        <v>168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27.75" customHeight="1" x14ac:dyDescent="0.2">
      <c r="A11" s="45" t="s">
        <v>169</v>
      </c>
      <c r="C11" s="1" t="s">
        <v>170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32" t="s">
        <v>77</v>
      </c>
      <c r="B12" s="32" t="s">
        <v>78</v>
      </c>
      <c r="C12" s="32" t="s">
        <v>79</v>
      </c>
      <c r="D12" s="32" t="s">
        <v>80</v>
      </c>
      <c r="E12" s="32" t="s">
        <v>81</v>
      </c>
      <c r="F12" s="32" t="s">
        <v>82</v>
      </c>
      <c r="G12" s="32" t="s">
        <v>83</v>
      </c>
      <c r="H12" s="32" t="s">
        <v>84</v>
      </c>
      <c r="I12" s="32" t="s">
        <v>85</v>
      </c>
      <c r="J12" s="32" t="s">
        <v>86</v>
      </c>
      <c r="K12" s="32" t="s">
        <v>87</v>
      </c>
      <c r="L12" s="32" t="s">
        <v>88</v>
      </c>
    </row>
    <row r="13" spans="1:12" x14ac:dyDescent="0.2">
      <c r="A13" s="33" t="s">
        <v>89</v>
      </c>
      <c r="C13" s="33" t="s">
        <v>90</v>
      </c>
      <c r="D13" s="33" t="s">
        <v>91</v>
      </c>
      <c r="E13" s="33" t="s">
        <v>92</v>
      </c>
      <c r="F13" s="33" t="s">
        <v>93</v>
      </c>
      <c r="G13" s="33" t="s">
        <v>94</v>
      </c>
      <c r="H13" s="33" t="s">
        <v>95</v>
      </c>
      <c r="I13" s="33" t="s">
        <v>96</v>
      </c>
      <c r="J13" s="33" t="s">
        <v>97</v>
      </c>
      <c r="K13" s="33" t="s">
        <v>98</v>
      </c>
      <c r="L13" s="33" t="s">
        <v>99</v>
      </c>
    </row>
    <row r="14" spans="1:12" x14ac:dyDescent="0.2">
      <c r="A14" s="33" t="s">
        <v>100</v>
      </c>
      <c r="C14" s="3" t="s">
        <v>171</v>
      </c>
      <c r="D14" s="3" t="s">
        <v>102</v>
      </c>
      <c r="E14" s="3" t="s">
        <v>103</v>
      </c>
      <c r="F14" s="3" t="s">
        <v>104</v>
      </c>
      <c r="G14" s="3" t="s">
        <v>105</v>
      </c>
      <c r="H14" s="3" t="s">
        <v>106</v>
      </c>
      <c r="I14" s="3" t="s">
        <v>107</v>
      </c>
      <c r="J14" s="3" t="s">
        <v>108</v>
      </c>
      <c r="K14" s="3" t="s">
        <v>109</v>
      </c>
      <c r="L14" s="3" t="s">
        <v>110</v>
      </c>
    </row>
    <row r="16" spans="1:12" x14ac:dyDescent="0.2">
      <c r="A16" s="4" t="s">
        <v>172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">
      <c r="A17" s="33" t="s">
        <v>173</v>
      </c>
      <c r="B17" s="33" t="s">
        <v>174</v>
      </c>
      <c r="C17" s="48">
        <v>27.5</v>
      </c>
      <c r="D17" s="48">
        <v>32.5</v>
      </c>
      <c r="E17" s="48">
        <v>35.700000000000003</v>
      </c>
      <c r="F17" s="48">
        <v>38.200000000000003</v>
      </c>
      <c r="G17" s="48">
        <v>40.299999999999997</v>
      </c>
      <c r="H17" s="48">
        <v>42.2</v>
      </c>
      <c r="I17" s="48">
        <v>43.8</v>
      </c>
      <c r="J17" s="48">
        <v>45.3</v>
      </c>
      <c r="K17" s="48">
        <v>46.4</v>
      </c>
      <c r="L17" s="48">
        <v>47.4</v>
      </c>
    </row>
    <row r="18" spans="1:12" x14ac:dyDescent="0.2">
      <c r="A18" s="33" t="s">
        <v>175</v>
      </c>
      <c r="B18" s="33" t="s">
        <v>174</v>
      </c>
      <c r="C18" s="49">
        <v>901</v>
      </c>
      <c r="D18" s="49">
        <v>1800</v>
      </c>
      <c r="E18" s="49">
        <v>2700</v>
      </c>
      <c r="F18" s="49">
        <v>3600</v>
      </c>
      <c r="G18" s="49">
        <v>4510</v>
      </c>
      <c r="H18" s="49">
        <v>5410</v>
      </c>
      <c r="I18" s="49">
        <v>6310</v>
      </c>
      <c r="J18" s="49">
        <v>7210</v>
      </c>
      <c r="K18" s="49">
        <v>8110</v>
      </c>
      <c r="L18" s="49">
        <v>9010</v>
      </c>
    </row>
    <row r="19" spans="1:12" x14ac:dyDescent="0.2">
      <c r="A19" s="33" t="s">
        <v>176</v>
      </c>
      <c r="B19" s="33" t="s">
        <v>174</v>
      </c>
      <c r="C19" s="49">
        <v>2910</v>
      </c>
      <c r="D19" s="49">
        <v>6870</v>
      </c>
      <c r="E19" s="49">
        <v>11300</v>
      </c>
      <c r="F19" s="49">
        <v>16100</v>
      </c>
      <c r="G19" s="49">
        <v>21300</v>
      </c>
      <c r="H19" s="49">
        <v>26700</v>
      </c>
      <c r="I19" s="49">
        <v>32400</v>
      </c>
      <c r="J19" s="49">
        <v>38300</v>
      </c>
      <c r="K19" s="49">
        <v>44100</v>
      </c>
      <c r="L19" s="49">
        <v>50100</v>
      </c>
    </row>
    <row r="21" spans="1:12" x14ac:dyDescent="0.2">
      <c r="A21" s="4" t="s">
        <v>177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">
      <c r="A22" s="33" t="s">
        <v>178</v>
      </c>
      <c r="B22" s="33" t="s">
        <v>8</v>
      </c>
      <c r="C22" s="37">
        <f>C17*1000000000*'Key Numbers'!$B$42*'Key Numbers'!$B$40/1000000000000</f>
        <v>156.41999999999999</v>
      </c>
      <c r="D22" s="37">
        <f>D17*1000000000*'Key Numbers'!$B$42*'Key Numbers'!$B$40/1000000000000</f>
        <v>184.86</v>
      </c>
      <c r="E22" s="37">
        <f>E17*1000000000*'Key Numbers'!$B$42*'Key Numbers'!$B$40/1000000000000</f>
        <v>203.0616</v>
      </c>
      <c r="F22" s="37">
        <f>F17*1000000000*'Key Numbers'!$B$42*'Key Numbers'!$B$40/1000000000000</f>
        <v>217.2816</v>
      </c>
      <c r="G22" s="37">
        <f>G17*1000000000*'Key Numbers'!$B$42*'Key Numbers'!$B$40/1000000000000</f>
        <v>229.22640000000001</v>
      </c>
      <c r="H22" s="37">
        <f>H17*1000000000*'Key Numbers'!$B$42*'Key Numbers'!$B$40/1000000000000</f>
        <v>240.03360000000001</v>
      </c>
      <c r="I22" s="37">
        <f>I17*1000000000*'Key Numbers'!$B$42*'Key Numbers'!$B$40/1000000000000</f>
        <v>249.1344</v>
      </c>
      <c r="J22" s="37">
        <f>J17*1000000000*'Key Numbers'!$B$42*'Key Numbers'!$B$40/1000000000000</f>
        <v>257.66640000000001</v>
      </c>
      <c r="K22" s="37">
        <f>K17*1000000000*'Key Numbers'!$B$42*'Key Numbers'!$B$40/1000000000000</f>
        <v>263.92320000000001</v>
      </c>
      <c r="L22" s="37">
        <f>L17*1000000000*'Key Numbers'!$B$42*'Key Numbers'!$B$40/1000000000000</f>
        <v>269.6112</v>
      </c>
    </row>
    <row r="23" spans="1:12" x14ac:dyDescent="0.2">
      <c r="A23" s="33" t="s">
        <v>179</v>
      </c>
      <c r="B23" s="33" t="s">
        <v>8</v>
      </c>
      <c r="C23" s="37">
        <f>(C17*('Key Numbers'!$B$42+'Key Numbers'!$B$43)+C18*'Key Numbers'!$B$44+C19*'Key Numbers'!$B$45)*1000000000*'Key Numbers'!$B$40/1000000000000</f>
        <v>3509.5635000000002</v>
      </c>
      <c r="D23" s="37">
        <f>(D17*('Key Numbers'!$B$42+'Key Numbers'!$B$43)+D18*'Key Numbers'!$B$44+D19*'Key Numbers'!$B$45)*1000000000*'Key Numbers'!$B$40/1000000000000</f>
        <v>5599.6575000000003</v>
      </c>
      <c r="E23" s="37">
        <f>(E17*('Key Numbers'!$B$42+'Key Numbers'!$B$43)+E18*'Key Numbers'!$B$44+E19*'Key Numbers'!$B$45)*1000000000*'Key Numbers'!$B$40/1000000000000</f>
        <v>7625.2970999999998</v>
      </c>
      <c r="F23" s="37">
        <f>(F17*('Key Numbers'!$B$42+'Key Numbers'!$B$43)+F18*'Key Numbers'!$B$44+F19*'Key Numbers'!$B$45)*1000000000*'Key Numbers'!$B$40/1000000000000</f>
        <v>9648.3546000000006</v>
      </c>
      <c r="G23" s="37">
        <f>(G17*('Key Numbers'!$B$42+'Key Numbers'!$B$43)+G18*'Key Numbers'!$B$44+G19*'Key Numbers'!$B$45)*1000000000*'Key Numbers'!$B$40/1000000000000</f>
        <v>11707.1409</v>
      </c>
      <c r="H23" s="37">
        <f>(H17*('Key Numbers'!$B$42+'Key Numbers'!$B$43)+H18*'Key Numbers'!$B$44+H19*'Key Numbers'!$B$45)*1000000000*'Key Numbers'!$B$40/1000000000000</f>
        <v>13762.776599999999</v>
      </c>
      <c r="I23" s="37">
        <f>(I17*('Key Numbers'!$B$42+'Key Numbers'!$B$43)+I18*'Key Numbers'!$B$44+I19*'Key Numbers'!$B$45)*1000000000*'Key Numbers'!$B$40/1000000000000</f>
        <v>15834.7014</v>
      </c>
      <c r="J23" s="37">
        <f>(J17*('Key Numbers'!$B$42+'Key Numbers'!$B$43)+J18*'Key Numbers'!$B$44+J19*'Key Numbers'!$B$45)*1000000000*'Key Numbers'!$B$40/1000000000000</f>
        <v>17924.355899999999</v>
      </c>
      <c r="K23" s="37">
        <f>(K17*('Key Numbers'!$B$42+'Key Numbers'!$B$43)+K18*'Key Numbers'!$B$44+K19*'Key Numbers'!$B$45)*1000000000*'Key Numbers'!$B$40/1000000000000</f>
        <v>19974.229200000002</v>
      </c>
      <c r="L23" s="37">
        <f>(L17*('Key Numbers'!$B$42+'Key Numbers'!$B$43)+L18*'Key Numbers'!$B$44+L19*'Key Numbers'!$B$45)*1000000000*'Key Numbers'!$B$40/1000000000000</f>
        <v>22041.832200000001</v>
      </c>
    </row>
    <row r="24" spans="1:12" x14ac:dyDescent="0.2">
      <c r="A24" s="33" t="s">
        <v>180</v>
      </c>
      <c r="B24" s="33" t="s">
        <v>8</v>
      </c>
      <c r="C24" s="37">
        <f>C23</f>
        <v>3509.5635000000002</v>
      </c>
      <c r="D24" s="37">
        <f>C23+D23</f>
        <v>9109.2210000000014</v>
      </c>
      <c r="E24" s="37">
        <f t="shared" ref="E24:L24" si="0">C23+D23+E23</f>
        <v>16734.518100000001</v>
      </c>
      <c r="F24" s="37">
        <f t="shared" si="0"/>
        <v>22873.309200000003</v>
      </c>
      <c r="G24" s="37">
        <f t="shared" si="0"/>
        <v>28980.792600000001</v>
      </c>
      <c r="H24" s="37">
        <f t="shared" si="0"/>
        <v>35118.272100000002</v>
      </c>
      <c r="I24" s="37">
        <f t="shared" si="0"/>
        <v>41304.618900000001</v>
      </c>
      <c r="J24" s="37">
        <f t="shared" si="0"/>
        <v>47521.833899999998</v>
      </c>
      <c r="K24" s="37">
        <f t="shared" si="0"/>
        <v>53733.286500000002</v>
      </c>
      <c r="L24" s="37">
        <f t="shared" si="0"/>
        <v>59940.417300000001</v>
      </c>
    </row>
    <row r="25" spans="1:12" x14ac:dyDescent="0.2">
      <c r="A25" s="40" t="s">
        <v>181</v>
      </c>
      <c r="B25" s="40" t="s">
        <v>32</v>
      </c>
      <c r="C25" s="50">
        <f t="shared" ref="C25:L25" si="1">C24/1000</f>
        <v>3.5095635000000001</v>
      </c>
      <c r="D25" s="50">
        <f t="shared" si="1"/>
        <v>9.1092210000000016</v>
      </c>
      <c r="E25" s="50">
        <f t="shared" si="1"/>
        <v>16.734518100000003</v>
      </c>
      <c r="F25" s="50">
        <f t="shared" si="1"/>
        <v>22.873309200000005</v>
      </c>
      <c r="G25" s="50">
        <f t="shared" si="1"/>
        <v>28.980792600000001</v>
      </c>
      <c r="H25" s="50">
        <f t="shared" si="1"/>
        <v>35.118272099999999</v>
      </c>
      <c r="I25" s="50">
        <f t="shared" si="1"/>
        <v>41.304618900000001</v>
      </c>
      <c r="J25" s="50">
        <f t="shared" si="1"/>
        <v>47.521833899999997</v>
      </c>
      <c r="K25" s="50">
        <f t="shared" si="1"/>
        <v>53.733286500000006</v>
      </c>
      <c r="L25" s="50">
        <f t="shared" si="1"/>
        <v>59.9404173</v>
      </c>
    </row>
    <row r="27" spans="1:12" x14ac:dyDescent="0.2">
      <c r="A27" s="4" t="s">
        <v>182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A28" s="33" t="s">
        <v>183</v>
      </c>
      <c r="B28" s="33" t="s">
        <v>184</v>
      </c>
      <c r="C28" s="48">
        <v>43.2</v>
      </c>
      <c r="D28" s="48">
        <v>43.2</v>
      </c>
      <c r="E28" s="48">
        <v>86.4</v>
      </c>
      <c r="F28" s="48">
        <v>86.4</v>
      </c>
      <c r="G28" s="48">
        <v>86.4</v>
      </c>
      <c r="H28" s="48">
        <v>86.4</v>
      </c>
      <c r="I28" s="48">
        <v>172.8</v>
      </c>
      <c r="J28" s="48">
        <v>172.8</v>
      </c>
      <c r="K28" s="48">
        <v>172.8</v>
      </c>
      <c r="L28" s="48">
        <v>172.8</v>
      </c>
    </row>
    <row r="29" spans="1:12" x14ac:dyDescent="0.2">
      <c r="A29" s="33" t="s">
        <v>185</v>
      </c>
      <c r="B29" s="33" t="s">
        <v>39</v>
      </c>
      <c r="C29" s="37">
        <f t="shared" ref="C29:L29" si="2">ROUNDUP(C24/C28,0)</f>
        <v>82</v>
      </c>
      <c r="D29" s="37">
        <f t="shared" si="2"/>
        <v>211</v>
      </c>
      <c r="E29" s="37">
        <f t="shared" si="2"/>
        <v>194</v>
      </c>
      <c r="F29" s="37">
        <f t="shared" si="2"/>
        <v>265</v>
      </c>
      <c r="G29" s="37">
        <f t="shared" si="2"/>
        <v>336</v>
      </c>
      <c r="H29" s="37">
        <f t="shared" si="2"/>
        <v>407</v>
      </c>
      <c r="I29" s="37">
        <f t="shared" si="2"/>
        <v>240</v>
      </c>
      <c r="J29" s="37">
        <f t="shared" si="2"/>
        <v>276</v>
      </c>
      <c r="K29" s="37">
        <f t="shared" si="2"/>
        <v>311</v>
      </c>
      <c r="L29" s="37">
        <f t="shared" si="2"/>
        <v>347</v>
      </c>
    </row>
    <row r="30" spans="1:12" x14ac:dyDescent="0.2">
      <c r="A30" s="33" t="s">
        <v>186</v>
      </c>
      <c r="B30" s="33" t="s">
        <v>39</v>
      </c>
      <c r="C30" s="36">
        <f>'Key Numbers'!$B$36</f>
        <v>92</v>
      </c>
      <c r="D30" s="36">
        <f>'Key Numbers'!$B$36</f>
        <v>92</v>
      </c>
      <c r="E30" s="36">
        <f>'Key Numbers'!$B$36</f>
        <v>92</v>
      </c>
      <c r="F30" s="36">
        <f>'Key Numbers'!$B$36</f>
        <v>92</v>
      </c>
      <c r="G30" s="36">
        <f>'Key Numbers'!$B$36</f>
        <v>92</v>
      </c>
      <c r="H30" s="36">
        <f>'Key Numbers'!$B$36</f>
        <v>92</v>
      </c>
      <c r="I30" s="36">
        <f>'Key Numbers'!$B$36</f>
        <v>92</v>
      </c>
      <c r="J30" s="36">
        <f>'Key Numbers'!$B$36</f>
        <v>92</v>
      </c>
      <c r="K30" s="36">
        <f>'Key Numbers'!$B$36</f>
        <v>92</v>
      </c>
      <c r="L30" s="36">
        <f>'Key Numbers'!$B$36</f>
        <v>92</v>
      </c>
    </row>
    <row r="31" spans="1:12" x14ac:dyDescent="0.2">
      <c r="A31" s="33" t="s">
        <v>187</v>
      </c>
      <c r="B31" s="33" t="s">
        <v>39</v>
      </c>
      <c r="C31" s="37">
        <f t="shared" ref="C31:L31" si="3">C30-C29</f>
        <v>10</v>
      </c>
      <c r="D31" s="37">
        <f t="shared" si="3"/>
        <v>-119</v>
      </c>
      <c r="E31" s="37">
        <f t="shared" si="3"/>
        <v>-102</v>
      </c>
      <c r="F31" s="37">
        <f t="shared" si="3"/>
        <v>-173</v>
      </c>
      <c r="G31" s="37">
        <f t="shared" si="3"/>
        <v>-244</v>
      </c>
      <c r="H31" s="37">
        <f t="shared" si="3"/>
        <v>-315</v>
      </c>
      <c r="I31" s="37">
        <f t="shared" si="3"/>
        <v>-148</v>
      </c>
      <c r="J31" s="37">
        <f t="shared" si="3"/>
        <v>-184</v>
      </c>
      <c r="K31" s="37">
        <f t="shared" si="3"/>
        <v>-219</v>
      </c>
      <c r="L31" s="37">
        <f t="shared" si="3"/>
        <v>-255</v>
      </c>
    </row>
    <row r="33" spans="1:1" x14ac:dyDescent="0.2">
      <c r="A33" s="3" t="s">
        <v>188</v>
      </c>
    </row>
  </sheetData>
  <mergeCells count="8">
    <mergeCell ref="C9:L9"/>
    <mergeCell ref="C10:L10"/>
    <mergeCell ref="C11:L11"/>
    <mergeCell ref="C4:L4"/>
    <mergeCell ref="C5:L5"/>
    <mergeCell ref="C6:L6"/>
    <mergeCell ref="C7:L7"/>
    <mergeCell ref="C8:L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18"/>
  <sheetViews>
    <sheetView tabSelected="1" zoomScaleNormal="100" workbookViewId="0"/>
  </sheetViews>
  <sheetFormatPr baseColWidth="10" defaultColWidth="8.6640625" defaultRowHeight="15" x14ac:dyDescent="0.2"/>
  <cols>
    <col min="1" max="1" width="44" customWidth="1"/>
    <col min="2" max="2" width="14" customWidth="1"/>
    <col min="3" max="3" width="16" customWidth="1"/>
    <col min="4" max="5" width="14" customWidth="1"/>
  </cols>
  <sheetData>
    <row r="1" spans="1:5" ht="17" x14ac:dyDescent="0.2">
      <c r="A1" s="2" t="s">
        <v>189</v>
      </c>
    </row>
    <row r="3" spans="1:5" x14ac:dyDescent="0.2">
      <c r="A3" s="45" t="s">
        <v>190</v>
      </c>
      <c r="B3" s="51">
        <v>2</v>
      </c>
      <c r="C3" s="3" t="s">
        <v>191</v>
      </c>
    </row>
    <row r="5" spans="1:5" x14ac:dyDescent="0.2">
      <c r="A5" s="32"/>
      <c r="B5" s="32" t="s">
        <v>138</v>
      </c>
      <c r="C5" s="32" t="s">
        <v>192</v>
      </c>
      <c r="D5" s="32" t="s">
        <v>193</v>
      </c>
      <c r="E5" s="32" t="s">
        <v>194</v>
      </c>
    </row>
    <row r="6" spans="1:5" x14ac:dyDescent="0.2">
      <c r="A6" s="33" t="s">
        <v>195</v>
      </c>
      <c r="B6" s="52">
        <f>'Key Numbers'!$B$32</f>
        <v>0.35</v>
      </c>
      <c r="C6" s="52">
        <f>'Key Numbers'!$B$30</f>
        <v>0.4</v>
      </c>
      <c r="D6" s="52">
        <f>'Key Numbers'!$B$31</f>
        <v>0.25</v>
      </c>
      <c r="E6" s="44">
        <v>0.1</v>
      </c>
    </row>
    <row r="7" spans="1:5" x14ac:dyDescent="0.2">
      <c r="A7" s="33" t="s">
        <v>196</v>
      </c>
      <c r="B7" s="36">
        <f>'Key Numbers'!$B$13</f>
        <v>120</v>
      </c>
      <c r="C7" s="53">
        <v>120</v>
      </c>
      <c r="D7" s="53">
        <v>120</v>
      </c>
      <c r="E7" s="53">
        <v>128</v>
      </c>
    </row>
    <row r="8" spans="1:5" x14ac:dyDescent="0.2">
      <c r="A8" s="33" t="s">
        <v>197</v>
      </c>
      <c r="B8" s="36">
        <f>'Key Numbers'!$B$14</f>
        <v>200</v>
      </c>
      <c r="C8" s="36">
        <f>'Key Numbers'!$B$14</f>
        <v>200</v>
      </c>
      <c r="D8" s="36">
        <f>'Key Numbers'!$B$14</f>
        <v>200</v>
      </c>
      <c r="E8" s="53">
        <v>200</v>
      </c>
    </row>
    <row r="9" spans="1:5" x14ac:dyDescent="0.2">
      <c r="A9" s="33" t="s">
        <v>198</v>
      </c>
      <c r="B9" s="36">
        <f>'Key Numbers'!$B$55*'Key Numbers'!$B$14*24</f>
        <v>103680000</v>
      </c>
      <c r="C9" s="53"/>
      <c r="D9" s="36">
        <f>'Key Numbers'!$B$33</f>
        <v>40000000</v>
      </c>
      <c r="E9" s="53">
        <v>10000000</v>
      </c>
    </row>
    <row r="10" spans="1:5" x14ac:dyDescent="0.2">
      <c r="A10" s="4" t="s">
        <v>199</v>
      </c>
      <c r="B10" s="5"/>
      <c r="C10" s="5"/>
      <c r="D10" s="5"/>
      <c r="E10" s="5"/>
    </row>
    <row r="11" spans="1:5" x14ac:dyDescent="0.2">
      <c r="A11" s="33" t="s">
        <v>200</v>
      </c>
      <c r="B11" s="54">
        <f>INDEX('All at USDF'!$C$9:$L$9,1,$B$3)</f>
        <v>16579199.038492801</v>
      </c>
      <c r="C11" s="54">
        <f>INDEX('All at USDF'!$C$9:$L$9,1,$B$3)</f>
        <v>16579199.038492801</v>
      </c>
      <c r="D11" s="54">
        <f>INDEX('All at USDF'!$C$9:$L$9,1,$B$3)</f>
        <v>16579199.038492801</v>
      </c>
      <c r="E11" s="54">
        <f>INDEX('All at USDF'!$C$9:$L$9,1,$B$3)</f>
        <v>16579199.038492801</v>
      </c>
    </row>
    <row r="12" spans="1:5" x14ac:dyDescent="0.2">
      <c r="A12" s="33" t="s">
        <v>201</v>
      </c>
      <c r="B12" s="54">
        <f>B11*B6</f>
        <v>5802719.6634724801</v>
      </c>
      <c r="C12" s="54">
        <f>C11*C6</f>
        <v>6631679.6153971208</v>
      </c>
      <c r="D12" s="54">
        <f>D11*D6</f>
        <v>4144799.7596232002</v>
      </c>
      <c r="E12" s="54">
        <f>E11*E6</f>
        <v>1657919.9038492802</v>
      </c>
    </row>
    <row r="13" spans="1:5" x14ac:dyDescent="0.2">
      <c r="A13" s="33" t="s">
        <v>202</v>
      </c>
      <c r="B13" s="54">
        <f>B12/(24*B7)</f>
        <v>2014.8332164835001</v>
      </c>
      <c r="C13" s="54">
        <f>C12/(24*C7)</f>
        <v>2302.6665331240001</v>
      </c>
      <c r="D13" s="54">
        <f>D12/(24*D7)</f>
        <v>1439.1665832025001</v>
      </c>
      <c r="E13" s="54">
        <f>E12/(24*E7)</f>
        <v>539.68746870093753</v>
      </c>
    </row>
    <row r="14" spans="1:5" x14ac:dyDescent="0.2">
      <c r="A14" s="33" t="s">
        <v>203</v>
      </c>
      <c r="B14" s="54">
        <f>ROUND(B12/(B8*24)*'Key Numbers'!$B$15*(1+'Key Numbers'!$B$16),0)</f>
        <v>1648</v>
      </c>
      <c r="C14" s="54">
        <f>ROUND(C12/(C8*24)*'Key Numbers'!$B$15*(1+'Key Numbers'!$B$16),0)</f>
        <v>1884</v>
      </c>
      <c r="D14" s="54">
        <f>ROUND(D12/(D8*24)*'Key Numbers'!$B$15*(1+'Key Numbers'!$B$16),0)</f>
        <v>1177</v>
      </c>
      <c r="E14" s="54">
        <f>ROUND(E12/(E8*24)*'Key Numbers'!$B$15*(1+'Key Numbers'!$B$16),0)</f>
        <v>471</v>
      </c>
    </row>
    <row r="15" spans="1:5" x14ac:dyDescent="0.2">
      <c r="A15" s="33" t="s">
        <v>204</v>
      </c>
      <c r="B15" s="54">
        <f>ROUNDUP(B14/B7,0)</f>
        <v>14</v>
      </c>
      <c r="C15" s="54">
        <f>ROUNDUP(C14/C7,0)</f>
        <v>16</v>
      </c>
      <c r="D15" s="54">
        <f>ROUNDUP(D14/D7,0)</f>
        <v>10</v>
      </c>
      <c r="E15" s="54">
        <f>ROUNDUP(E14/E7,0)</f>
        <v>4</v>
      </c>
    </row>
    <row r="16" spans="1:5" x14ac:dyDescent="0.2">
      <c r="A16" s="33" t="s">
        <v>205</v>
      </c>
      <c r="B16" s="46">
        <f>IF(B9="","",B12/B9)</f>
        <v>5.5967589346763894E-2</v>
      </c>
      <c r="C16" s="46" t="str">
        <f>IF(C9="","",C12/C9)</f>
        <v/>
      </c>
      <c r="D16" s="46">
        <f>IF(D9="","",D12/D9)</f>
        <v>0.10361999399058</v>
      </c>
      <c r="E16" s="46">
        <f>IF(E9="","",E12/E9)</f>
        <v>0.16579199038492803</v>
      </c>
    </row>
    <row r="18" spans="1:1" x14ac:dyDescent="0.2">
      <c r="A18" s="3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Numbers</vt:lpstr>
      <vt:lpstr>All at USDF</vt:lpstr>
      <vt:lpstr>Facility Split</vt:lpstr>
      <vt:lpstr>Qserv</vt:lpstr>
      <vt:lpstr>DF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Tanikanti, Aditya</cp:lastModifiedBy>
  <cp:revision>0</cp:revision>
  <dcterms:created xsi:type="dcterms:W3CDTF">2026-08-19T00:37:17Z</dcterms:created>
  <dcterms:modified xsi:type="dcterms:W3CDTF">2026-08-19T00:55:12Z</dcterms:modified>
  <dc:language>en-US</dc:language>
</cp:coreProperties>
</file>