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atani/Codes/rubin-sizing-model/"/>
    </mc:Choice>
  </mc:AlternateContent>
  <xr:revisionPtr revIDLastSave="0" documentId="13_ncr:1_{B90C4724-0D4D-8947-92CF-2E37B77B140F}" xr6:coauthVersionLast="47" xr6:coauthVersionMax="47" xr10:uidLastSave="{00000000-0000-0000-0000-000000000000}"/>
  <bookViews>
    <workbookView xWindow="0" yWindow="660" windowWidth="34560" windowHeight="21680" tabRatio="500" activeTab="1" xr2:uid="{00000000-000D-0000-FFFF-FFFF00000000}"/>
  </bookViews>
  <sheets>
    <sheet name="Key Numbers" sheetId="1" r:id="rId1"/>
    <sheet name="All at USDF" sheetId="2" r:id="rId2"/>
    <sheet name="Facility Split" sheetId="3" r:id="rId3"/>
    <sheet name="DF Template" sheetId="4" r:id="rId4"/>
    <sheet name="Sources &amp; Caveat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4" l="1"/>
  <c r="D9" i="4"/>
  <c r="D8" i="4"/>
  <c r="C8" i="4"/>
  <c r="B8" i="4"/>
  <c r="B7" i="4"/>
  <c r="D6" i="4"/>
  <c r="C6" i="4"/>
  <c r="B6" i="4"/>
  <c r="J39" i="3"/>
  <c r="D39" i="3"/>
  <c r="J38" i="3"/>
  <c r="F38" i="3"/>
  <c r="F39" i="3" s="1"/>
  <c r="E38" i="3"/>
  <c r="E39" i="3" s="1"/>
  <c r="D38" i="3"/>
  <c r="L36" i="3"/>
  <c r="L37" i="3" s="1"/>
  <c r="D34" i="3"/>
  <c r="D35" i="3" s="1"/>
  <c r="C34" i="3"/>
  <c r="C35" i="3" s="1"/>
  <c r="L9" i="3"/>
  <c r="K9" i="3"/>
  <c r="J9" i="3"/>
  <c r="I9" i="3"/>
  <c r="H9" i="3"/>
  <c r="G9" i="3"/>
  <c r="F9" i="3"/>
  <c r="E9" i="3"/>
  <c r="D9" i="3"/>
  <c r="C9" i="3"/>
  <c r="L8" i="3"/>
  <c r="K8" i="3"/>
  <c r="J8" i="3"/>
  <c r="I8" i="3"/>
  <c r="H8" i="3"/>
  <c r="G8" i="3"/>
  <c r="F8" i="3"/>
  <c r="E8" i="3"/>
  <c r="D8" i="3"/>
  <c r="C8" i="3"/>
  <c r="L7" i="3"/>
  <c r="K7" i="3"/>
  <c r="J7" i="3"/>
  <c r="I7" i="3"/>
  <c r="H7" i="3"/>
  <c r="G7" i="3"/>
  <c r="F7" i="3"/>
  <c r="E7" i="3"/>
  <c r="D7" i="3"/>
  <c r="C28" i="2"/>
  <c r="J27" i="2"/>
  <c r="I27" i="2"/>
  <c r="H27" i="2"/>
  <c r="G27" i="2"/>
  <c r="L26" i="2"/>
  <c r="L27" i="2" s="1"/>
  <c r="K26" i="2"/>
  <c r="K27" i="2" s="1"/>
  <c r="J26" i="2"/>
  <c r="I26" i="2"/>
  <c r="H26" i="2"/>
  <c r="G26" i="2"/>
  <c r="F26" i="2"/>
  <c r="F27" i="2" s="1"/>
  <c r="E26" i="2"/>
  <c r="E27" i="2" s="1"/>
  <c r="D26" i="2"/>
  <c r="D27" i="2" s="1"/>
  <c r="C26" i="2"/>
  <c r="C27" i="2" s="1"/>
  <c r="L25" i="2"/>
  <c r="L24" i="2"/>
  <c r="L34" i="3" s="1"/>
  <c r="L35" i="3" s="1"/>
  <c r="K24" i="2"/>
  <c r="K34" i="3" s="1"/>
  <c r="K35" i="3" s="1"/>
  <c r="J24" i="2"/>
  <c r="J34" i="3" s="1"/>
  <c r="J35" i="3" s="1"/>
  <c r="I24" i="2"/>
  <c r="I34" i="3" s="1"/>
  <c r="I35" i="3" s="1"/>
  <c r="H24" i="2"/>
  <c r="H34" i="3" s="1"/>
  <c r="H35" i="3" s="1"/>
  <c r="D24" i="2"/>
  <c r="D36" i="3" s="1"/>
  <c r="D37" i="3" s="1"/>
  <c r="C24" i="2"/>
  <c r="C36" i="3" s="1"/>
  <c r="C37" i="3" s="1"/>
  <c r="H23" i="2"/>
  <c r="G23" i="2"/>
  <c r="F23" i="2"/>
  <c r="E23" i="2"/>
  <c r="D23" i="2"/>
  <c r="L22" i="2"/>
  <c r="L23" i="2" s="1"/>
  <c r="K22" i="2"/>
  <c r="K23" i="2" s="1"/>
  <c r="J22" i="2"/>
  <c r="J23" i="2" s="1"/>
  <c r="I22" i="2"/>
  <c r="I23" i="2" s="1"/>
  <c r="H22" i="2"/>
  <c r="G22" i="2"/>
  <c r="F22" i="2"/>
  <c r="E22" i="2"/>
  <c r="D22" i="2"/>
  <c r="C22" i="2"/>
  <c r="C23" i="2" s="1"/>
  <c r="L21" i="2"/>
  <c r="K21" i="2"/>
  <c r="J21" i="2"/>
  <c r="E21" i="2"/>
  <c r="L20" i="2"/>
  <c r="L38" i="3" s="1"/>
  <c r="L39" i="3" s="1"/>
  <c r="K20" i="2"/>
  <c r="K38" i="3" s="1"/>
  <c r="K39" i="3" s="1"/>
  <c r="J20" i="2"/>
  <c r="I20" i="2"/>
  <c r="I38" i="3" s="1"/>
  <c r="I39" i="3" s="1"/>
  <c r="H20" i="2"/>
  <c r="H38" i="3" s="1"/>
  <c r="H39" i="3" s="1"/>
  <c r="G20" i="2"/>
  <c r="G38" i="3" s="1"/>
  <c r="G39" i="3" s="1"/>
  <c r="F20" i="2"/>
  <c r="F21" i="2" s="1"/>
  <c r="E20" i="2"/>
  <c r="E24" i="2" s="1"/>
  <c r="D20" i="2"/>
  <c r="D21" i="2" s="1"/>
  <c r="C20" i="2"/>
  <c r="C21" i="2" s="1"/>
  <c r="K8" i="2"/>
  <c r="K18" i="2" s="1"/>
  <c r="K19" i="2" s="1"/>
  <c r="I8" i="2"/>
  <c r="I18" i="2" s="1"/>
  <c r="I19" i="2" s="1"/>
  <c r="H8" i="2"/>
  <c r="H18" i="2" s="1"/>
  <c r="H19" i="2" s="1"/>
  <c r="F33" i="1"/>
  <c r="B32" i="1"/>
  <c r="C7" i="3" s="1"/>
  <c r="F28" i="1"/>
  <c r="B27" i="1"/>
  <c r="L14" i="2" s="1"/>
  <c r="F23" i="1"/>
  <c r="F22" i="1"/>
  <c r="F21" i="1"/>
  <c r="F20" i="1"/>
  <c r="F17" i="1"/>
  <c r="F12" i="1"/>
  <c r="F11" i="1"/>
  <c r="B8" i="1"/>
  <c r="L8" i="2" s="1"/>
  <c r="E36" i="3" l="1"/>
  <c r="E37" i="3" s="1"/>
  <c r="E25" i="2"/>
  <c r="E34" i="3"/>
  <c r="E35" i="3" s="1"/>
  <c r="L18" i="2"/>
  <c r="L19" i="2" s="1"/>
  <c r="L9" i="2"/>
  <c r="G14" i="2"/>
  <c r="C8" i="2"/>
  <c r="E8" i="2"/>
  <c r="I9" i="2"/>
  <c r="G21" i="2"/>
  <c r="I25" i="2"/>
  <c r="H36" i="3"/>
  <c r="H37" i="3" s="1"/>
  <c r="B9" i="4"/>
  <c r="F8" i="2"/>
  <c r="H21" i="2"/>
  <c r="F24" i="2"/>
  <c r="J25" i="2"/>
  <c r="I36" i="3"/>
  <c r="I37" i="3" s="1"/>
  <c r="C38" i="3"/>
  <c r="C39" i="3" s="1"/>
  <c r="F8" i="1"/>
  <c r="D8" i="2"/>
  <c r="H9" i="2"/>
  <c r="H25" i="2"/>
  <c r="G8" i="2"/>
  <c r="K9" i="2"/>
  <c r="C14" i="2"/>
  <c r="I21" i="2"/>
  <c r="G24" i="2"/>
  <c r="K25" i="2"/>
  <c r="J36" i="3"/>
  <c r="J37" i="3" s="1"/>
  <c r="D14" i="2"/>
  <c r="K36" i="3"/>
  <c r="K37" i="3" s="1"/>
  <c r="J8" i="2"/>
  <c r="F14" i="2"/>
  <c r="E14" i="2"/>
  <c r="H14" i="2"/>
  <c r="C25" i="2"/>
  <c r="J14" i="2"/>
  <c r="D25" i="2"/>
  <c r="K14" i="2"/>
  <c r="F27" i="1"/>
  <c r="I14" i="2"/>
  <c r="C18" i="2" l="1"/>
  <c r="C19" i="2" s="1"/>
  <c r="C9" i="2"/>
  <c r="H10" i="2"/>
  <c r="H11" i="2"/>
  <c r="H12" i="3"/>
  <c r="H12" i="2"/>
  <c r="K11" i="2"/>
  <c r="K12" i="3"/>
  <c r="K12" i="2"/>
  <c r="K10" i="2"/>
  <c r="G18" i="2"/>
  <c r="G19" i="2" s="1"/>
  <c r="G9" i="2"/>
  <c r="E18" i="2"/>
  <c r="E19" i="2" s="1"/>
  <c r="E9" i="2"/>
  <c r="I10" i="2"/>
  <c r="I12" i="3"/>
  <c r="I12" i="2"/>
  <c r="I11" i="2"/>
  <c r="D18" i="2"/>
  <c r="D19" i="2" s="1"/>
  <c r="D9" i="2"/>
  <c r="J18" i="2"/>
  <c r="J19" i="2" s="1"/>
  <c r="J9" i="2"/>
  <c r="L12" i="3"/>
  <c r="L11" i="2"/>
  <c r="L12" i="2"/>
  <c r="L10" i="2"/>
  <c r="F25" i="2"/>
  <c r="F34" i="3"/>
  <c r="F35" i="3" s="1"/>
  <c r="F36" i="3"/>
  <c r="F37" i="3" s="1"/>
  <c r="G34" i="3"/>
  <c r="G35" i="3" s="1"/>
  <c r="G36" i="3"/>
  <c r="G37" i="3" s="1"/>
  <c r="G25" i="2"/>
  <c r="F18" i="2"/>
  <c r="F19" i="2" s="1"/>
  <c r="F9" i="2"/>
  <c r="G10" i="2" l="1"/>
  <c r="G11" i="2"/>
  <c r="G12" i="3"/>
  <c r="G12" i="2"/>
  <c r="K15" i="3"/>
  <c r="K13" i="3"/>
  <c r="K18" i="3" s="1"/>
  <c r="K14" i="3"/>
  <c r="D12" i="2"/>
  <c r="E11" i="4"/>
  <c r="E12" i="4" s="1"/>
  <c r="D10" i="2"/>
  <c r="D11" i="4"/>
  <c r="D12" i="4" s="1"/>
  <c r="C11" i="4"/>
  <c r="C12" i="4" s="1"/>
  <c r="B11" i="4"/>
  <c r="B12" i="4" s="1"/>
  <c r="D11" i="2"/>
  <c r="D12" i="3"/>
  <c r="H13" i="2"/>
  <c r="H25" i="3"/>
  <c r="H23" i="3"/>
  <c r="H28" i="3" s="1"/>
  <c r="H15" i="2"/>
  <c r="H24" i="3"/>
  <c r="H14" i="3"/>
  <c r="H15" i="3"/>
  <c r="H13" i="3"/>
  <c r="H18" i="3" s="1"/>
  <c r="I14" i="3"/>
  <c r="I15" i="3"/>
  <c r="I13" i="3"/>
  <c r="I18" i="3" s="1"/>
  <c r="L23" i="3"/>
  <c r="L28" i="3" s="1"/>
  <c r="L15" i="2"/>
  <c r="L24" i="3"/>
  <c r="L13" i="2"/>
  <c r="L25" i="3"/>
  <c r="K23" i="3"/>
  <c r="K28" i="3" s="1"/>
  <c r="K24" i="3"/>
  <c r="K25" i="3"/>
  <c r="K13" i="2"/>
  <c r="K15" i="2"/>
  <c r="F10" i="2"/>
  <c r="F11" i="2"/>
  <c r="F12" i="3"/>
  <c r="F12" i="2"/>
  <c r="C12" i="2"/>
  <c r="C10" i="2"/>
  <c r="C12" i="3"/>
  <c r="C11" i="2"/>
  <c r="L15" i="3"/>
  <c r="L13" i="3"/>
  <c r="L18" i="3" s="1"/>
  <c r="L14" i="3"/>
  <c r="J10" i="2"/>
  <c r="J11" i="2"/>
  <c r="J12" i="3"/>
  <c r="J12" i="2"/>
  <c r="I25" i="3"/>
  <c r="I15" i="2"/>
  <c r="I23" i="3"/>
  <c r="I28" i="3" s="1"/>
  <c r="I24" i="3"/>
  <c r="I13" i="2"/>
  <c r="E11" i="2"/>
  <c r="E12" i="3"/>
  <c r="E12" i="2"/>
  <c r="E10" i="2"/>
  <c r="C13" i="3" l="1"/>
  <c r="C18" i="3" s="1"/>
  <c r="C14" i="3"/>
  <c r="C15" i="3"/>
  <c r="D24" i="3"/>
  <c r="D13" i="2"/>
  <c r="D25" i="3"/>
  <c r="D15" i="2"/>
  <c r="D23" i="3"/>
  <c r="D28" i="3" s="1"/>
  <c r="C13" i="4"/>
  <c r="C14" i="4"/>
  <c r="C15" i="4" s="1"/>
  <c r="E24" i="3"/>
  <c r="E13" i="2"/>
  <c r="E25" i="3"/>
  <c r="E23" i="3"/>
  <c r="E28" i="3" s="1"/>
  <c r="E15" i="2"/>
  <c r="J15" i="3"/>
  <c r="J13" i="3"/>
  <c r="J18" i="3" s="1"/>
  <c r="J14" i="3"/>
  <c r="H20" i="3"/>
  <c r="H29" i="3"/>
  <c r="D14" i="4"/>
  <c r="D15" i="4" s="1"/>
  <c r="D13" i="4"/>
  <c r="D16" i="4"/>
  <c r="F25" i="3"/>
  <c r="F13" i="2"/>
  <c r="F23" i="3"/>
  <c r="F28" i="3" s="1"/>
  <c r="F15" i="2"/>
  <c r="F24" i="3"/>
  <c r="H30" i="3"/>
  <c r="H19" i="3"/>
  <c r="K30" i="3"/>
  <c r="K19" i="3"/>
  <c r="B13" i="4"/>
  <c r="B14" i="4"/>
  <c r="B15" i="4" s="1"/>
  <c r="B16" i="4"/>
  <c r="F14" i="3"/>
  <c r="F13" i="3"/>
  <c r="F18" i="3" s="1"/>
  <c r="F15" i="3"/>
  <c r="I20" i="3"/>
  <c r="I29" i="3"/>
  <c r="K20" i="3"/>
  <c r="K29" i="3"/>
  <c r="E16" i="4"/>
  <c r="E14" i="4"/>
  <c r="E15" i="4" s="1"/>
  <c r="E13" i="4"/>
  <c r="I30" i="3"/>
  <c r="I19" i="3"/>
  <c r="J23" i="3"/>
  <c r="J28" i="3" s="1"/>
  <c r="J15" i="2"/>
  <c r="J24" i="3"/>
  <c r="J13" i="2"/>
  <c r="J25" i="3"/>
  <c r="L30" i="3"/>
  <c r="L19" i="3"/>
  <c r="G14" i="3"/>
  <c r="G15" i="3"/>
  <c r="G13" i="3"/>
  <c r="G18" i="3" s="1"/>
  <c r="L29" i="3"/>
  <c r="L20" i="3"/>
  <c r="E13" i="3"/>
  <c r="E18" i="3" s="1"/>
  <c r="E14" i="3"/>
  <c r="E15" i="3"/>
  <c r="C24" i="3"/>
  <c r="C25" i="3"/>
  <c r="C23" i="3"/>
  <c r="C28" i="3" s="1"/>
  <c r="C15" i="2"/>
  <c r="C13" i="2"/>
  <c r="G13" i="2"/>
  <c r="G25" i="3"/>
  <c r="G23" i="3"/>
  <c r="G28" i="3" s="1"/>
  <c r="G15" i="2"/>
  <c r="G24" i="3"/>
  <c r="D13" i="3"/>
  <c r="D18" i="3" s="1"/>
  <c r="D14" i="3"/>
  <c r="D15" i="3"/>
  <c r="F20" i="3" l="1"/>
  <c r="F29" i="3"/>
  <c r="D20" i="3"/>
  <c r="D29" i="3"/>
  <c r="E30" i="3"/>
  <c r="E19" i="3"/>
  <c r="D30" i="3"/>
  <c r="D19" i="3"/>
  <c r="J30" i="3"/>
  <c r="J19" i="3"/>
  <c r="C29" i="3"/>
  <c r="C20" i="3"/>
  <c r="G20" i="3"/>
  <c r="G29" i="3"/>
  <c r="G30" i="3"/>
  <c r="G19" i="3"/>
  <c r="F30" i="3"/>
  <c r="F19" i="3"/>
  <c r="E20" i="3"/>
  <c r="E29" i="3"/>
  <c r="J20" i="3"/>
  <c r="J29" i="3"/>
  <c r="C30" i="3"/>
  <c r="C19" i="3"/>
</calcChain>
</file>

<file path=xl/sharedStrings.xml><?xml version="1.0" encoding="utf-8"?>
<sst xmlns="http://schemas.openxmlformats.org/spreadsheetml/2006/main" count="331" uniqueCount="205">
  <si>
    <t>Rubin USDF Model 2026 — Condensed — Key Numbers</t>
  </si>
  <si>
    <t>Blue = input (edit here) · Black = formula · Yellow = assumption to confirm · Column F = same quantity in alternate units. All downstream tabs recalculate from column B.</t>
  </si>
  <si>
    <t>OBSERVING</t>
  </si>
  <si>
    <t>Observing nights per year</t>
  </si>
  <si>
    <t>nights</t>
  </si>
  <si>
    <t>Rubin Key Numbers.xlsx (300 = 330 sched − outages)</t>
  </si>
  <si>
    <t>Confirmed</t>
  </si>
  <si>
    <t>Visits per night (sim-based)</t>
  </si>
  <si>
    <t>visits</t>
  </si>
  <si>
    <t>Rubin Key Numbers.xlsx (2.1M visits / 10 yr / 300 nights)</t>
  </si>
  <si>
    <t>Image size (logical)</t>
  </si>
  <si>
    <t>TB</t>
  </si>
  <si>
    <t>Rubin Key Numbers.xlsx (8.19 GB/exposure)</t>
  </si>
  <si>
    <t>Raw compression ratio</t>
  </si>
  <si>
    <t>ratio</t>
  </si>
  <si>
    <t>Rubin Key Numbers.xlsx (3.8 GB on wire / 8.19 GB logical)</t>
  </si>
  <si>
    <t>Input data per survey year</t>
  </si>
  <si>
    <t>Derived: nights × visits × image × compression (≈798 TB)</t>
  </si>
  <si>
    <t>DRP COMPUTE</t>
  </si>
  <si>
    <t>DRP core-hours per input TB</t>
  </si>
  <si>
    <t>ch/TB</t>
  </si>
  <si>
    <t>Calibrated: DR1 actual 16.416M ch / 798 TB (DRP Resource Usage Estimates)</t>
  </si>
  <si>
    <t>DR1 actual compute (reference)</t>
  </si>
  <si>
    <t>core-hrs</t>
  </si>
  <si>
    <t>DRP Resource Usage Estimates — DM-53697 (v30_0_0_rc2)</t>
  </si>
  <si>
    <t>DP2 actual compute (reference)</t>
  </si>
  <si>
    <t>node-days</t>
  </si>
  <si>
    <t>DP2 campaign actual @ 120 cores/node</t>
  </si>
  <si>
    <t>Cores per batch node</t>
  </si>
  <si>
    <t>cores</t>
  </si>
  <si>
    <t>Milano/Torino, Adam Bolton Mar 2026</t>
  </si>
  <si>
    <t>DRP processing window</t>
  </si>
  <si>
    <t>days</t>
  </si>
  <si>
    <t>Model assumption (200-day campaign)</t>
  </si>
  <si>
    <t>Idle / inter-stage multiplier</t>
  </si>
  <si>
    <t>×</t>
  </si>
  <si>
    <t>K-T Mar 2026 placeholder (1.3–1.5) until CM refines</t>
  </si>
  <si>
    <t>Verify</t>
  </si>
  <si>
    <t>USDF RSP extra load fraction</t>
  </si>
  <si>
    <t>fraction</t>
  </si>
  <si>
    <t>sizing_params.yaml — confirm with Yusra / CM</t>
  </si>
  <si>
    <t>Developer/pilot batch load</t>
  </si>
  <si>
    <t>node-days/yr</t>
  </si>
  <si>
    <t>~165 node-days over 3 yr at present</t>
  </si>
  <si>
    <t>Safety margin</t>
  </si>
  <si>
    <t>Model assumption</t>
  </si>
  <si>
    <t>DRP STORAGE</t>
  </si>
  <si>
    <t>DP2 total DRP output (actual)</t>
  </si>
  <si>
    <t>PB</t>
  </si>
  <si>
    <t>DRP Resource Usage Estimates (compressed, ~30k visits)</t>
  </si>
  <si>
    <t>DP2 release products (actual)</t>
  </si>
  <si>
    <t>DRP Resource Usage Estimates (compressed)</t>
  </si>
  <si>
    <t>DR1 total DRP output (per survey-year)</t>
  </si>
  <si>
    <t>DRP Resource Usage Estimates (compressed, ~210k visits)</t>
  </si>
  <si>
    <t>DR1 release products (per survey-year)</t>
  </si>
  <si>
    <t>Scratch / intermediate fraction</t>
  </si>
  <si>
    <t>Placeholder — K-T: can be larger; refine from Jim C. split</t>
  </si>
  <si>
    <t>USDF FLEET (2026)</t>
  </si>
  <si>
    <t>Batch nodes (Milano + Torino)</t>
  </si>
  <si>
    <t>nodes</t>
  </si>
  <si>
    <t>Adam Bolton, Mar 2026 (110 Milano + 35 Torino)</t>
  </si>
  <si>
    <t>Batch cores</t>
  </si>
  <si>
    <t>Derived (145 × 120 = 17,400)</t>
  </si>
  <si>
    <t>Installed storage</t>
  </si>
  <si>
    <t>2026 HW Initial Capacity Capture (Rubin USDF, 30,000 TB)</t>
  </si>
  <si>
    <t>FACILITY SPLIT (DRP COMPUTE)</t>
  </si>
  <si>
    <t>France / CC-IN2P3 DRP share</t>
  </si>
  <si>
    <t>%</t>
  </si>
  <si>
    <t>DMTN-135-era agreement — confirm with FrDF spreadsheet</t>
  </si>
  <si>
    <t>UK / UKDF DRP share</t>
  </si>
  <si>
    <t>G. Beckett #dm-camelot 2026-06-29: 40M ch/yr ≈ 40% of DR1 cost (DMTN-135)</t>
  </si>
  <si>
    <t>USDF DRP share (residual)</t>
  </si>
  <si>
    <t>Derived: 1 − France − UK</t>
  </si>
  <si>
    <t>UK provisioned capacity</t>
  </si>
  <si>
    <t>ch/yr</t>
  </si>
  <si>
    <t>G. Beckett #dm-camelot 2026-06-29 (shared infra: 9k cores × 6 mo)</t>
  </si>
  <si>
    <t>France provisioned capacity</t>
  </si>
  <si>
    <t>TBD</t>
  </si>
  <si>
    <t>Awaiting FrDF / CC-IN2P3 numbers</t>
  </si>
  <si>
    <t>Scenario A — Everything runs at USDF (100% of DRP)</t>
  </si>
  <si>
    <t>Metric</t>
  </si>
  <si>
    <t>Unit</t>
  </si>
  <si>
    <t>LOY1</t>
  </si>
  <si>
    <t>LOY2</t>
  </si>
  <si>
    <t>LOY3</t>
  </si>
  <si>
    <t>LOY4</t>
  </si>
  <si>
    <t>LOY5</t>
  </si>
  <si>
    <t>LOY6</t>
  </si>
  <si>
    <t>LOY7</t>
  </si>
  <si>
    <t>LOY8</t>
  </si>
  <si>
    <t>LOY9</t>
  </si>
  <si>
    <t>LOY10</t>
  </si>
  <si>
    <t>Fiscal Year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</si>
  <si>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</si>
  <si>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</si>
  <si>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</si>
  <si>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</si>
  <si>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</si>
  <si>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</si>
  <si>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</si>
  <si>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</si>
  <si>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</si>
  <si>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</si>
  <si>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Milestone</t>
  </si>
  <si>
    <t>DP2</t>
  </si>
  <si>
    <t>DR1</t>
  </si>
  <si>
    <t>DR2</t>
  </si>
  <si>
    <t>DR3</t>
  </si>
  <si>
    <t>DR4</t>
  </si>
  <si>
    <t>DR5</t>
  </si>
  <si>
    <t>DR6</t>
  </si>
  <si>
    <t>DR7</t>
  </si>
  <si>
    <t>DR8</t>
  </si>
  <si>
    <t>DR9</t>
  </si>
  <si>
    <t>DRP COMPUTE (100% at USDF) — core-hours / node-days / peak cores</t>
  </si>
  <si>
    <t>Survey years of input processed</t>
  </si>
  <si>
    <t>years</t>
  </si>
  <si>
    <t>Cumulative input data</t>
  </si>
  <si>
    <t>DRP work — core-hours</t>
  </si>
  <si>
    <t>DRP work — node-days (@120 cores/node)</t>
  </si>
  <si>
    <t>DRP work — peak concurrent cores (200-day window)</t>
  </si>
  <si>
    <t>Core-hours w/ safety margin (1.5×)</t>
  </si>
  <si>
    <t>Batch nodes needed (peak)</t>
  </si>
  <si>
    <t>USDF fleet cores available</t>
  </si>
  <si>
    <t>Fleet utilization (peak / available)</t>
  </si>
  <si>
    <t>DRP STORAGE (all releases archived at USDF) — PB and TB</t>
  </si>
  <si>
    <t>Raw data cumulative (compressed)</t>
  </si>
  <si>
    <t xml:space="preserve">  same in TB</t>
  </si>
  <si>
    <t>DRP total output of campaign sized this LOY</t>
  </si>
  <si>
    <t xml:space="preserve">  of which release products</t>
  </si>
  <si>
    <t>Scratch / intermediates during campaign</t>
  </si>
  <si>
    <t>Installed storage today (2026)</t>
  </si>
  <si>
    <t>DP2 actual total output (reference)</t>
  </si>
  <si>
    <t>Note: compute and storage rows both follow the main model's convention — LOY_n is sized for n survey-years of input (procurement lead), while the DR shipping in LOY_n covers n−1 years. DP2 actuals (7.43 PB, 650 node-days = 1.87M core-hrs) reference only.</t>
  </si>
  <si>
    <t>Scenario B — DRP split across data facilities (storage archived at USDF)</t>
  </si>
  <si>
    <t>SHARES (edit on Key Numbers tab, rows 30-31)</t>
  </si>
  <si>
    <t>USDF share</t>
  </si>
  <si>
    <t>France / CC-IN2P3 share</t>
  </si>
  <si>
    <t>UK / UKDF share</t>
  </si>
  <si>
    <t>DRP WORK BY FACILITY — CORE-HOURS</t>
  </si>
  <si>
    <t>Total DRP core-hours</t>
  </si>
  <si>
    <t>USDF</t>
  </si>
  <si>
    <t>France / CC-IN2P3</t>
  </si>
  <si>
    <t>UK / UKDF</t>
  </si>
  <si>
    <t>DRP WORK BY FACILITY — NODE-DAYS (@120 cores/node)</t>
  </si>
  <si>
    <t>DRP WORK BY FACILITY — PEAK CONCURRENT CORES (200-day window)</t>
  </si>
  <si>
    <t>CAPACITY CHECKS</t>
  </si>
  <si>
    <t>USDF peak cores vs fleet (17,400)</t>
  </si>
  <si>
    <t>UK required vs provisioned 40M ch/yr</t>
  </si>
  <si>
    <t>France required core-hours</t>
  </si>
  <si>
    <t>France capacity TBD — awaiting CC-IN2P3 numbers.</t>
  </si>
  <si>
    <t>STORAGE IMPLICATIONS OF SPLIT — PB and TB</t>
  </si>
  <si>
    <t>Scratch at France (share × scratch)</t>
  </si>
  <si>
    <t>Scratch at UK (share × scratch)</t>
  </si>
  <si>
    <t>Release archive at USDF (unchanged)</t>
  </si>
  <si>
    <t>Assumption: partner DFs hold scratch/intermediates for their share only; all release products transfer back to USDF for the archive (per sizing_params.yaml: storage stays at USDF).</t>
  </si>
  <si>
    <t>Per-Facility Calculator — fill in the yellow cells for your facility</t>
  </si>
  <si>
    <t>Data release year to evaluate (LOY 1-10)</t>
  </si>
  <si>
    <t>LOY2 = FY2027 = DR1</t>
  </si>
  <si>
    <t>France (CC-IN2P3)</t>
  </si>
  <si>
    <t>UK (UKDF)</t>
  </si>
  <si>
    <t>Your DF</t>
  </si>
  <si>
    <t>DRP share</t>
  </si>
  <si>
    <t>Cores per node</t>
  </si>
  <si>
    <t>Processing window (days)</t>
  </si>
  <si>
    <t>Provisioned capacity (core-hrs/yr)</t>
  </si>
  <si>
    <t>COMPUTED</t>
  </si>
  <si>
    <t>Total DRP work (selected LOY) — core-hours</t>
  </si>
  <si>
    <t>Your facility — core-hours</t>
  </si>
  <si>
    <t>Your facility — node-days</t>
  </si>
  <si>
    <t>Your facility — peak concurrent cores</t>
  </si>
  <si>
    <t>Nodes needed</t>
  </si>
  <si>
    <t>Utilization vs provisioned</t>
  </si>
  <si>
    <t>'Your DF' column contains example values (10% share, 128-core nodes, 10M ch/yr) — replace with your facility's numbers. Yellow = edit; green = linked to Key Numbers tab.</t>
  </si>
  <si>
    <t>Unit Conventions</t>
  </si>
  <si>
    <t>Compute</t>
  </si>
  <si>
    <t>All three units shown side by side everywhere: core-hours (invariant work unit — what facilities quote), node-days at 120 cores/node (how campaigns are reported, e.g. DP2 = 650), peak concurrent cores over the 200-day window (what you provision). Conversions: node-days = core-hours ÷ (24 × 120); peak cores = core-hours ÷ (200 × 24) × idle multiplier.</t>
  </si>
  <si>
    <t>Storage</t>
  </si>
  <si>
    <t>Every storage quantity shown in both PB and TB (gray italic row = TB). 1 PB = 1,000 TB.</t>
  </si>
  <si>
    <t>Sources</t>
  </si>
  <si>
    <t>sizing_params.yaml / rubin_sizing_model_2026.xlsx</t>
  </si>
  <si>
    <t>Single source of truth. This workbook is regenerated by generate_sizing_model.py from the same YAML.</t>
  </si>
  <si>
    <t>DRP Resource Usage Estimates (Jim Bosch)</t>
  </si>
  <si>
    <t>DR1 actual 16.416M core-hours / 798 TB input; DP2 actual 650 node-days; storage totals (DP2 7.43 PB total / 0.32 PB release; DR1 47 PB total / 1.6 PB release). DM-53697, DM-52836.</t>
  </si>
  <si>
    <t>Rubin Key Numbers.xlsx (verified identical to Jul 2026 upload)</t>
  </si>
  <si>
    <t>300 nights/yr, 700 visits/night, 8.19 GB logical exposure, 0.464 raw compression, 450 calibs/day.</t>
  </si>
  <si>
    <t>DMTN-135 (https://dmtn-135.lsst.io/)</t>
  </si>
  <si>
    <t>DM sizing model and cost plan; basis for international share agreements (used 50%/25% France/UK).</t>
  </si>
  <si>
    <t>G. Beckett, #dm-camelot, 2026-06-29</t>
  </si>
  <si>
    <t>UK sized at 40M core-hours/yr shared infra, 'in line with 40% of the cost of processing DR1' (DMTN-135-era). Basis for UK share = 40% in this workbook. https://rubin-obs.slack.com/archives/C07QFRSFWAZ/p1782745234473869</t>
  </si>
  <si>
    <t>2026 HW Initial Capacity Capture</t>
  </si>
  <si>
    <t>USDF fleet: 145 batch nodes (17,400 cores), 75 K8s, 92 Qserv, 30 PB installed.</t>
  </si>
  <si>
    <t>Adam Bolton (Mar 2026)</t>
  </si>
  <si>
    <t>Fleet confirmation: 110 Milano + 35 Torino, both 120 cores/node.</t>
  </si>
  <si>
    <t>Caveats / Open Items</t>
  </si>
  <si>
    <t>UK share = 40% is provisional</t>
  </si>
  <si>
    <t>Recalibrated from Beckett's Slack message (was 25% in earlier model). 40M ch/yr is provisioned capacity vs the older, larger DMTN-135 DR1 estimate — at the current actual-calibrated DR1 (16.4M ch), UK capacity alone exceeds total need. Confirm share with UKDF spreadsheet.</t>
  </si>
  <si>
    <t>France share = 40% unconfirmed</t>
  </si>
  <si>
    <t>DMTN-135-era number; awaiting FrDF/CC-IN2P3 spreadsheet.</t>
  </si>
  <si>
    <t>Compute sized one LOY ahead</t>
  </si>
  <si>
    <t>Matches main model convention (procurement lead): LOY_n compute = n survey-years of input, while the DR shipping in LOY_n covers n−1 years.</t>
  </si>
  <si>
    <t>Idle/inter-stage multiplier 1.35 is a placeholder</t>
  </si>
  <si>
    <t>K-T suggested 1.3-1.5; CM to refine.</t>
  </si>
  <si>
    <t>User storage demand not in model</t>
  </si>
  <si>
    <t>DR1-era user quota expectations (~1 PB requests seen in USDFSM-127 discussion, Jun 2026) are outside this sizing model's scope.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</si>
</sst>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0000"/>
    <numFmt numFmtId="165" formatCode="0.000"/>
    <numFmt numFmtId="166" formatCode="0.00&quot; PB&quot;"/>
    <numFmt numFmtId="167" formatCode="#,##0&quot; node-days&quot;"/>
    <numFmt numFmtId="168" formatCode="#,##0&quot; core-hrs&quot;"/>
    <numFmt numFmtId="169" formatCode="#,##0&quot; core-hrs/yr&quot;"/>
    <numFmt numFmtId="170" formatCode="0.0"/>
    <numFmt numFmtId="171" formatCode="#,##0&quot; TB&quot;"/>
    <numFmt numFmtId="172" formatCode="#,##0,,&quot; M ch/window&quot;"/>
    <numFmt numFmtId="173" formatCode="0.0%"/>
    <numFmt numFmtId="174" formatCode="#,##0&quot; node-days/yr&quot;"/>
    <numFmt numFmtId="175" formatCode="#,##0.0"/>
  </numFmts>
  <fonts count="11" x14ac:knownFonts="1">
    <font>
      <sz val="11"/>
      <color theme="1"/>
      <name val="Calibri"/>
      <family val="2"/>
      <charset val="1"/>
    </font>
    <font>
      <b/>
      <sz val="13"/>
      <name val="Arial"/>
      <family val="2"/>
    </font>
    <font>
      <i/>
      <sz val="9"/>
      <color rgb="FF666666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9"/>
      <color rgb="FF008000"/>
      <name val="Arial"/>
      <family val="2"/>
    </font>
    <font>
      <i/>
      <sz val="9"/>
      <color rgb="FF808080"/>
      <name val="Arial"/>
      <family val="2"/>
    </font>
    <font>
      <b/>
      <sz val="9"/>
      <color rgb="FFC00000"/>
      <name val="Arial"/>
      <family val="2"/>
    </font>
    <font>
      <b/>
      <sz val="10"/>
      <name val="Arial"/>
      <family val="2"/>
    </font>
    <font>
      <sz val="10"/>
      <color rgb="FF008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1" xfId="0" applyFont="1" applyBorder="1"/>
    <xf numFmtId="3" fontId="5" fillId="0" borderId="1" xfId="0" applyNumberFormat="1" applyFont="1" applyBorder="1"/>
    <xf numFmtId="0" fontId="2" fillId="0" borderId="1" xfId="0" applyFont="1" applyBorder="1"/>
    <xf numFmtId="0" fontId="6" fillId="0" borderId="1" xfId="0" applyFont="1" applyBorder="1"/>
    <xf numFmtId="0" fontId="0" fillId="0" borderId="1" xfId="0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3" fontId="4" fillId="0" borderId="1" xfId="0" applyNumberFormat="1" applyFont="1" applyBorder="1"/>
    <xf numFmtId="166" fontId="7" fillId="0" borderId="1" xfId="0" applyNumberFormat="1" applyFont="1" applyBorder="1"/>
    <xf numFmtId="167" fontId="7" fillId="0" borderId="1" xfId="0" applyNumberFormat="1" applyFont="1" applyBorder="1"/>
    <xf numFmtId="168" fontId="7" fillId="0" borderId="1" xfId="0" applyNumberFormat="1" applyFont="1" applyBorder="1"/>
    <xf numFmtId="2" fontId="5" fillId="3" borderId="1" xfId="0" applyNumberFormat="1" applyFont="1" applyFill="1" applyBorder="1"/>
    <xf numFmtId="0" fontId="8" fillId="0" borderId="1" xfId="0" applyFont="1" applyBorder="1"/>
    <xf numFmtId="10" fontId="5" fillId="0" borderId="1" xfId="0" applyNumberFormat="1" applyFont="1" applyBorder="1"/>
    <xf numFmtId="169" fontId="7" fillId="0" borderId="1" xfId="0" applyNumberFormat="1" applyFont="1" applyBorder="1"/>
    <xf numFmtId="170" fontId="5" fillId="0" borderId="1" xfId="0" applyNumberFormat="1" applyFont="1" applyBorder="1"/>
    <xf numFmtId="4" fontId="5" fillId="0" borderId="1" xfId="0" applyNumberFormat="1" applyFont="1" applyBorder="1"/>
    <xf numFmtId="171" fontId="7" fillId="0" borderId="1" xfId="0" applyNumberFormat="1" applyFont="1" applyBorder="1"/>
    <xf numFmtId="9" fontId="5" fillId="3" borderId="1" xfId="0" applyNumberFormat="1" applyFont="1" applyFill="1" applyBorder="1"/>
    <xf numFmtId="172" fontId="7" fillId="0" borderId="1" xfId="0" applyNumberFormat="1" applyFont="1" applyBorder="1"/>
    <xf numFmtId="173" fontId="5" fillId="3" borderId="1" xfId="0" applyNumberFormat="1" applyFont="1" applyFill="1" applyBorder="1"/>
    <xf numFmtId="173" fontId="4" fillId="0" borderId="1" xfId="0" applyNumberFormat="1" applyFont="1" applyBorder="1"/>
    <xf numFmtId="174" fontId="7" fillId="0" borderId="1" xfId="0" applyNumberFormat="1" applyFont="1" applyBorder="1"/>
    <xf numFmtId="0" fontId="5" fillId="0" borderId="1" xfId="0" applyFont="1" applyBorder="1"/>
    <xf numFmtId="0" fontId="9" fillId="4" borderId="0" xfId="0" applyFont="1" applyFill="1"/>
    <xf numFmtId="0" fontId="4" fillId="0" borderId="0" xfId="0" applyFont="1"/>
    <xf numFmtId="3" fontId="4" fillId="0" borderId="0" xfId="0" applyNumberFormat="1" applyFont="1"/>
    <xf numFmtId="3" fontId="10" fillId="0" borderId="0" xfId="0" applyNumberFormat="1" applyFont="1"/>
    <xf numFmtId="173" fontId="4" fillId="0" borderId="0" xfId="0" applyNumberFormat="1" applyFont="1"/>
    <xf numFmtId="4" fontId="4" fillId="0" borderId="0" xfId="0" applyNumberFormat="1" applyFont="1"/>
    <xf numFmtId="0" fontId="7" fillId="0" borderId="0" xfId="0" applyFont="1"/>
    <xf numFmtId="3" fontId="7" fillId="0" borderId="0" xfId="0" applyNumberFormat="1" applyFont="1"/>
    <xf numFmtId="175" fontId="4" fillId="0" borderId="0" xfId="0" applyNumberFormat="1" applyFont="1"/>
    <xf numFmtId="4" fontId="10" fillId="0" borderId="0" xfId="0" applyNumberFormat="1" applyFont="1"/>
    <xf numFmtId="173" fontId="10" fillId="0" borderId="0" xfId="0" applyNumberFormat="1" applyFont="1"/>
    <xf numFmtId="0" fontId="9" fillId="0" borderId="0" xfId="0" applyFont="1"/>
    <xf numFmtId="0" fontId="5" fillId="3" borderId="0" xfId="0" applyFont="1" applyFill="1"/>
    <xf numFmtId="173" fontId="5" fillId="3" borderId="0" xfId="0" applyNumberFormat="1" applyFont="1" applyFill="1"/>
    <xf numFmtId="3" fontId="5" fillId="3" borderId="0" xfId="0" applyNumberFormat="1" applyFont="1" applyFill="1"/>
    <xf numFmtId="3" fontId="0" fillId="0" borderId="0" xfId="0" applyNumberFormat="1"/>
    <xf numFmtId="173" fontId="0" fillId="0" borderId="0" xfId="0" applyNumberFormat="1"/>
    <xf numFmtId="0" fontId="0" fillId="0" borderId="0" xfId="0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66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zoomScaleNormal="100" workbookViewId="0">
      <selection activeCell="B28" sqref="B28"/>
    </sheetView>
  </sheetViews>
  <sheetFormatPr baseColWidth="10" defaultColWidth="8.6640625" defaultRowHeight="15" x14ac:dyDescent="0.2"/>
  <cols>
    <col min="1" max="1" width="44" customWidth="1"/>
    <col min="2" max="2" width="16" customWidth="1"/>
    <col min="3" max="3" width="12" customWidth="1"/>
    <col min="4" max="4" width="58" customWidth="1"/>
    <col min="5" max="5" width="12" customWidth="1"/>
    <col min="6" max="6" width="20" customWidth="1"/>
  </cols>
  <sheetData>
    <row r="1" spans="1:6" ht="17" x14ac:dyDescent="0.2">
      <c r="A1" s="1" t="s">
        <v>0</v>
      </c>
    </row>
    <row r="2" spans="1:6" x14ac:dyDescent="0.2">
      <c r="A2" s="2" t="s">
        <v>1</v>
      </c>
    </row>
    <row r="3" spans="1:6" x14ac:dyDescent="0.2">
      <c r="A3" s="3" t="s">
        <v>2</v>
      </c>
      <c r="B3" s="4"/>
      <c r="C3" s="4"/>
      <c r="D3" s="4"/>
      <c r="E3" s="4"/>
      <c r="F3" s="4"/>
    </row>
    <row r="4" spans="1:6" x14ac:dyDescent="0.2">
      <c r="A4" s="5" t="s">
        <v>3</v>
      </c>
      <c r="B4" s="6">
        <v>300</v>
      </c>
      <c r="C4" s="5" t="s">
        <v>4</v>
      </c>
      <c r="D4" s="7" t="s">
        <v>5</v>
      </c>
      <c r="E4" s="8" t="s">
        <v>6</v>
      </c>
      <c r="F4" s="9"/>
    </row>
    <row r="5" spans="1:6" x14ac:dyDescent="0.2">
      <c r="A5" s="5" t="s">
        <v>7</v>
      </c>
      <c r="B5" s="6">
        <v>700</v>
      </c>
      <c r="C5" s="5" t="s">
        <v>8</v>
      </c>
      <c r="D5" s="7" t="s">
        <v>9</v>
      </c>
      <c r="E5" s="8" t="s">
        <v>6</v>
      </c>
      <c r="F5" s="9"/>
    </row>
    <row r="6" spans="1:6" x14ac:dyDescent="0.2">
      <c r="A6" s="5" t="s">
        <v>10</v>
      </c>
      <c r="B6" s="10">
        <v>8.1922200000000001E-3</v>
      </c>
      <c r="C6" s="5" t="s">
        <v>11</v>
      </c>
      <c r="D6" s="7" t="s">
        <v>12</v>
      </c>
      <c r="E6" s="8" t="s">
        <v>6</v>
      </c>
      <c r="F6" s="9"/>
    </row>
    <row r="7" spans="1:6" x14ac:dyDescent="0.2">
      <c r="A7" s="5" t="s">
        <v>13</v>
      </c>
      <c r="B7" s="11">
        <v>0.46400000000000002</v>
      </c>
      <c r="C7" s="5" t="s">
        <v>14</v>
      </c>
      <c r="D7" s="7" t="s">
        <v>15</v>
      </c>
      <c r="E7" s="8" t="s">
        <v>6</v>
      </c>
      <c r="F7" s="9"/>
    </row>
    <row r="8" spans="1:6" x14ac:dyDescent="0.2">
      <c r="A8" s="5" t="s">
        <v>16</v>
      </c>
      <c r="B8" s="12">
        <f>B4*B5*B6*B7</f>
        <v>798.24991680000005</v>
      </c>
      <c r="C8" s="5" t="s">
        <v>11</v>
      </c>
      <c r="D8" s="7" t="s">
        <v>17</v>
      </c>
      <c r="E8" s="8" t="s">
        <v>6</v>
      </c>
      <c r="F8" s="13">
        <f>B8/1000</f>
        <v>0.79824991680000001</v>
      </c>
    </row>
    <row r="9" spans="1:6" x14ac:dyDescent="0.2">
      <c r="A9" s="3" t="s">
        <v>18</v>
      </c>
      <c r="B9" s="4"/>
      <c r="C9" s="4"/>
      <c r="D9" s="4"/>
      <c r="E9" s="4"/>
      <c r="F9" s="4"/>
    </row>
    <row r="10" spans="1:6" x14ac:dyDescent="0.2">
      <c r="A10" s="5" t="s">
        <v>19</v>
      </c>
      <c r="B10" s="6">
        <v>20571</v>
      </c>
      <c r="C10" s="5" t="s">
        <v>20</v>
      </c>
      <c r="D10" s="7" t="s">
        <v>21</v>
      </c>
      <c r="E10" s="8" t="s">
        <v>6</v>
      </c>
      <c r="F10" s="9"/>
    </row>
    <row r="11" spans="1:6" x14ac:dyDescent="0.2">
      <c r="A11" s="5" t="s">
        <v>22</v>
      </c>
      <c r="B11" s="6">
        <v>16416000</v>
      </c>
      <c r="C11" s="5" t="s">
        <v>23</v>
      </c>
      <c r="D11" s="7" t="s">
        <v>24</v>
      </c>
      <c r="E11" s="8" t="s">
        <v>6</v>
      </c>
      <c r="F11" s="14">
        <f>B11/(24*B13)</f>
        <v>5700</v>
      </c>
    </row>
    <row r="12" spans="1:6" x14ac:dyDescent="0.2">
      <c r="A12" s="5" t="s">
        <v>25</v>
      </c>
      <c r="B12" s="6">
        <v>650</v>
      </c>
      <c r="C12" s="5" t="s">
        <v>26</v>
      </c>
      <c r="D12" s="7" t="s">
        <v>27</v>
      </c>
      <c r="E12" s="8" t="s">
        <v>6</v>
      </c>
      <c r="F12" s="15">
        <f>B12*B13*24</f>
        <v>1872000</v>
      </c>
    </row>
    <row r="13" spans="1:6" x14ac:dyDescent="0.2">
      <c r="A13" s="5" t="s">
        <v>28</v>
      </c>
      <c r="B13" s="6">
        <v>120</v>
      </c>
      <c r="C13" s="5" t="s">
        <v>29</v>
      </c>
      <c r="D13" s="7" t="s">
        <v>30</v>
      </c>
      <c r="E13" s="8" t="s">
        <v>6</v>
      </c>
      <c r="F13" s="9"/>
    </row>
    <row r="14" spans="1:6" x14ac:dyDescent="0.2">
      <c r="A14" s="5" t="s">
        <v>31</v>
      </c>
      <c r="B14" s="6">
        <v>200</v>
      </c>
      <c r="C14" s="5" t="s">
        <v>32</v>
      </c>
      <c r="D14" s="7" t="s">
        <v>33</v>
      </c>
      <c r="E14" s="8" t="s">
        <v>6</v>
      </c>
      <c r="F14" s="9"/>
    </row>
    <row r="15" spans="1:6" x14ac:dyDescent="0.2">
      <c r="A15" s="5" t="s">
        <v>34</v>
      </c>
      <c r="B15" s="16">
        <v>1.35</v>
      </c>
      <c r="C15" s="5" t="s">
        <v>35</v>
      </c>
      <c r="D15" s="7" t="s">
        <v>36</v>
      </c>
      <c r="E15" s="17" t="s">
        <v>37</v>
      </c>
      <c r="F15" s="9"/>
    </row>
    <row r="16" spans="1:6" x14ac:dyDescent="0.2">
      <c r="A16" s="5" t="s">
        <v>38</v>
      </c>
      <c r="B16" s="18">
        <v>0.01</v>
      </c>
      <c r="C16" s="5" t="s">
        <v>39</v>
      </c>
      <c r="D16" s="7" t="s">
        <v>40</v>
      </c>
      <c r="E16" s="17" t="s">
        <v>37</v>
      </c>
      <c r="F16" s="9"/>
    </row>
    <row r="17" spans="1:6" x14ac:dyDescent="0.2">
      <c r="A17" s="5" t="s">
        <v>41</v>
      </c>
      <c r="B17" s="6">
        <v>55</v>
      </c>
      <c r="C17" s="5" t="s">
        <v>42</v>
      </c>
      <c r="D17" s="7" t="s">
        <v>43</v>
      </c>
      <c r="E17" s="17" t="s">
        <v>37</v>
      </c>
      <c r="F17" s="19">
        <f>B17*B13*24</f>
        <v>158400</v>
      </c>
    </row>
    <row r="18" spans="1:6" x14ac:dyDescent="0.2">
      <c r="A18" s="5" t="s">
        <v>44</v>
      </c>
      <c r="B18" s="20">
        <v>1.5</v>
      </c>
      <c r="C18" s="5" t="s">
        <v>35</v>
      </c>
      <c r="D18" s="7" t="s">
        <v>45</v>
      </c>
      <c r="E18" s="8" t="s">
        <v>6</v>
      </c>
      <c r="F18" s="9"/>
    </row>
    <row r="19" spans="1:6" x14ac:dyDescent="0.2">
      <c r="A19" s="3" t="s">
        <v>46</v>
      </c>
      <c r="B19" s="4"/>
      <c r="C19" s="4"/>
      <c r="D19" s="4"/>
      <c r="E19" s="4"/>
      <c r="F19" s="4"/>
    </row>
    <row r="20" spans="1:6" x14ac:dyDescent="0.2">
      <c r="A20" s="5" t="s">
        <v>47</v>
      </c>
      <c r="B20" s="21">
        <v>7.43</v>
      </c>
      <c r="C20" s="5" t="s">
        <v>48</v>
      </c>
      <c r="D20" s="7" t="s">
        <v>49</v>
      </c>
      <c r="E20" s="8" t="s">
        <v>6</v>
      </c>
      <c r="F20" s="22">
        <f>B20*1000</f>
        <v>7430</v>
      </c>
    </row>
    <row r="21" spans="1:6" x14ac:dyDescent="0.2">
      <c r="A21" s="5" t="s">
        <v>50</v>
      </c>
      <c r="B21" s="21">
        <v>0.32</v>
      </c>
      <c r="C21" s="5" t="s">
        <v>48</v>
      </c>
      <c r="D21" s="7" t="s">
        <v>51</v>
      </c>
      <c r="E21" s="8" t="s">
        <v>6</v>
      </c>
      <c r="F21" s="22">
        <f>B21*1000</f>
        <v>320</v>
      </c>
    </row>
    <row r="22" spans="1:6" x14ac:dyDescent="0.2">
      <c r="A22" s="5" t="s">
        <v>52</v>
      </c>
      <c r="B22" s="6">
        <v>47</v>
      </c>
      <c r="C22" s="5" t="s">
        <v>48</v>
      </c>
      <c r="D22" s="7" t="s">
        <v>53</v>
      </c>
      <c r="E22" s="8" t="s">
        <v>6</v>
      </c>
      <c r="F22" s="22">
        <f>B22*1000</f>
        <v>47000</v>
      </c>
    </row>
    <row r="23" spans="1:6" x14ac:dyDescent="0.2">
      <c r="A23" s="5" t="s">
        <v>54</v>
      </c>
      <c r="B23" s="20">
        <v>1.6</v>
      </c>
      <c r="C23" s="5" t="s">
        <v>48</v>
      </c>
      <c r="D23" s="7" t="s">
        <v>51</v>
      </c>
      <c r="E23" s="8" t="s">
        <v>6</v>
      </c>
      <c r="F23" s="22">
        <f>B23*1000</f>
        <v>1600</v>
      </c>
    </row>
    <row r="24" spans="1:6" x14ac:dyDescent="0.2">
      <c r="A24" s="5" t="s">
        <v>55</v>
      </c>
      <c r="B24" s="23">
        <v>0.35</v>
      </c>
      <c r="C24" s="5" t="s">
        <v>39</v>
      </c>
      <c r="D24" s="7" t="s">
        <v>56</v>
      </c>
      <c r="E24" s="17" t="s">
        <v>37</v>
      </c>
      <c r="F24" s="9"/>
    </row>
    <row r="25" spans="1:6" x14ac:dyDescent="0.2">
      <c r="A25" s="3" t="s">
        <v>57</v>
      </c>
      <c r="B25" s="4"/>
      <c r="C25" s="4"/>
      <c r="D25" s="4"/>
      <c r="E25" s="4"/>
      <c r="F25" s="4"/>
    </row>
    <row r="26" spans="1:6" x14ac:dyDescent="0.2">
      <c r="A26" s="5" t="s">
        <v>58</v>
      </c>
      <c r="B26" s="6">
        <v>145</v>
      </c>
      <c r="C26" s="5" t="s">
        <v>59</v>
      </c>
      <c r="D26" s="7" t="s">
        <v>60</v>
      </c>
      <c r="E26" s="8" t="s">
        <v>6</v>
      </c>
      <c r="F26" s="9"/>
    </row>
    <row r="27" spans="1:6" x14ac:dyDescent="0.2">
      <c r="A27" s="5" t="s">
        <v>61</v>
      </c>
      <c r="B27" s="12">
        <f>B26*B13</f>
        <v>17400</v>
      </c>
      <c r="C27" s="5" t="s">
        <v>29</v>
      </c>
      <c r="D27" s="7" t="s">
        <v>62</v>
      </c>
      <c r="E27" s="8" t="s">
        <v>6</v>
      </c>
      <c r="F27" s="24">
        <f>B27*B14*24</f>
        <v>83520000</v>
      </c>
    </row>
    <row r="28" spans="1:6" x14ac:dyDescent="0.2">
      <c r="A28" s="5" t="s">
        <v>63</v>
      </c>
      <c r="B28" s="6">
        <v>30</v>
      </c>
      <c r="C28" s="5" t="s">
        <v>48</v>
      </c>
      <c r="D28" s="7" t="s">
        <v>64</v>
      </c>
      <c r="E28" s="8" t="s">
        <v>6</v>
      </c>
      <c r="F28" s="22">
        <f>B28*1000</f>
        <v>30000</v>
      </c>
    </row>
    <row r="29" spans="1:6" x14ac:dyDescent="0.2">
      <c r="A29" s="3" t="s">
        <v>65</v>
      </c>
      <c r="B29" s="4"/>
      <c r="C29" s="4"/>
      <c r="D29" s="4"/>
      <c r="E29" s="4"/>
      <c r="F29" s="4"/>
    </row>
    <row r="30" spans="1:6" x14ac:dyDescent="0.2">
      <c r="A30" s="5" t="s">
        <v>66</v>
      </c>
      <c r="B30" s="25">
        <v>0.4</v>
      </c>
      <c r="C30" s="5" t="s">
        <v>67</v>
      </c>
      <c r="D30" s="7" t="s">
        <v>68</v>
      </c>
      <c r="E30" s="17" t="s">
        <v>37</v>
      </c>
      <c r="F30" s="9"/>
    </row>
    <row r="31" spans="1:6" x14ac:dyDescent="0.2">
      <c r="A31" s="5" t="s">
        <v>69</v>
      </c>
      <c r="B31" s="25">
        <v>0.4</v>
      </c>
      <c r="C31" s="5" t="s">
        <v>67</v>
      </c>
      <c r="D31" s="7" t="s">
        <v>70</v>
      </c>
      <c r="E31" s="17" t="s">
        <v>37</v>
      </c>
      <c r="F31" s="9"/>
    </row>
    <row r="32" spans="1:6" x14ac:dyDescent="0.2">
      <c r="A32" s="5" t="s">
        <v>71</v>
      </c>
      <c r="B32" s="26">
        <f>1-B30-B31</f>
        <v>0.19999999999999996</v>
      </c>
      <c r="C32" s="5" t="s">
        <v>67</v>
      </c>
      <c r="D32" s="7" t="s">
        <v>72</v>
      </c>
      <c r="E32" s="8" t="s">
        <v>6</v>
      </c>
      <c r="F32" s="9"/>
    </row>
    <row r="33" spans="1:6" x14ac:dyDescent="0.2">
      <c r="A33" s="5" t="s">
        <v>73</v>
      </c>
      <c r="B33" s="6">
        <v>40000000</v>
      </c>
      <c r="C33" s="5" t="s">
        <v>74</v>
      </c>
      <c r="D33" s="7" t="s">
        <v>75</v>
      </c>
      <c r="E33" s="8" t="s">
        <v>6</v>
      </c>
      <c r="F33" s="27">
        <f>B33/(24*B13)</f>
        <v>13888.888888888889</v>
      </c>
    </row>
    <row r="34" spans="1:6" x14ac:dyDescent="0.2">
      <c r="A34" s="5" t="s">
        <v>76</v>
      </c>
      <c r="B34" s="28" t="s">
        <v>77</v>
      </c>
      <c r="C34" s="5" t="s">
        <v>74</v>
      </c>
      <c r="D34" s="7" t="s">
        <v>78</v>
      </c>
      <c r="E34" s="17" t="s">
        <v>37</v>
      </c>
      <c r="F3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D7D31"/>
  </sheetPr>
  <dimension ref="A1:L30"/>
  <sheetViews>
    <sheetView tabSelected="1" zoomScaleNormal="100" workbookViewId="0">
      <selection activeCell="C20" sqref="C20"/>
    </sheetView>
  </sheetViews>
  <sheetFormatPr baseColWidth="10" defaultColWidth="8.6640625" defaultRowHeight="15" x14ac:dyDescent="0.2"/>
  <cols>
    <col min="1" max="1" width="44" customWidth="1"/>
    <col min="2" max="2" width="12" customWidth="1"/>
    <col min="3" max="12" width="13" customWidth="1"/>
  </cols>
  <sheetData>
    <row r="1" spans="1:12" ht="17" x14ac:dyDescent="0.2">
      <c r="A1" s="1" t="s">
        <v>79</v>
      </c>
    </row>
    <row r="2" spans="1:12" x14ac:dyDescent="0.2">
      <c r="A2" s="29" t="s">
        <v>80</v>
      </c>
      <c r="B2" s="29" t="s">
        <v>81</v>
      </c>
      <c r="C2" s="29" t="s">
        <v>82</v>
      </c>
      <c r="D2" s="29" t="s">
        <v>83</v>
      </c>
      <c r="E2" s="29" t="s">
        <v>84</v>
      </c>
      <c r="F2" s="29" t="s">
        <v>85</v>
      </c>
      <c r="G2" s="29" t="s">
        <v>86</v>
      </c>
      <c r="H2" s="29" t="s">
        <v>87</v>
      </c>
      <c r="I2" s="29" t="s">
        <v>88</v>
      </c>
      <c r="J2" s="29" t="s">
        <v>89</v>
      </c>
      <c r="K2" s="29" t="s">
        <v>90</v>
      </c>
      <c r="L2" s="29" t="s">
        <v>91</v>
      </c>
    </row>
    <row r="3" spans="1:12" x14ac:dyDescent="0.2">
      <c r="A3" s="30" t="s">
        <v>92</v>
      </c>
      <c r="C3" s="30" t="s">
        <v>93</v>
      </c>
      <c r="D3" s="30" t="s">
        <v>94</v>
      </c>
      <c r="E3" s="30" t="s">
        <v>95</v>
      </c>
      <c r="F3" s="30" t="s">
        <v>96</v>
      </c>
      <c r="G3" s="30" t="s">
        <v>97</v>
      </c>
      <c r="H3" s="30" t="s">
        <v>98</v>
      </c>
      <c r="I3" s="30" t="s">
        <v>99</v>
      </c>
      <c r="J3" s="30" t="s">
        <v>100</v>
      </c>
      <c r="K3" s="30" t="s">
        <v>101</v>
      </c>
      <c r="L3" s="30" t="s">
        <v>102</v>
      </c>
    </row>
    <row r="4" spans="1:12" x14ac:dyDescent="0.2">
      <c r="A4" s="30" t="s">
        <v>103</v>
      </c>
      <c r="C4" s="2" t="s">
        <v>104</v>
      </c>
      <c r="D4" s="2" t="s">
        <v>105</v>
      </c>
      <c r="E4" s="2" t="s">
        <v>106</v>
      </c>
      <c r="F4" s="2" t="s">
        <v>107</v>
      </c>
      <c r="G4" s="2" t="s">
        <v>108</v>
      </c>
      <c r="H4" s="2" t="s">
        <v>109</v>
      </c>
      <c r="I4" s="2" t="s">
        <v>110</v>
      </c>
      <c r="J4" s="2" t="s">
        <v>111</v>
      </c>
      <c r="K4" s="2" t="s">
        <v>112</v>
      </c>
      <c r="L4" s="2" t="s">
        <v>113</v>
      </c>
    </row>
    <row r="6" spans="1:12" x14ac:dyDescent="0.2">
      <c r="A6" s="3" t="s">
        <v>114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x14ac:dyDescent="0.2">
      <c r="A7" s="30" t="s">
        <v>115</v>
      </c>
      <c r="B7" s="30" t="s">
        <v>116</v>
      </c>
      <c r="C7" s="31">
        <v>1</v>
      </c>
      <c r="D7" s="31">
        <v>2</v>
      </c>
      <c r="E7" s="31">
        <v>3</v>
      </c>
      <c r="F7" s="31">
        <v>4</v>
      </c>
      <c r="G7" s="31">
        <v>5</v>
      </c>
      <c r="H7" s="31">
        <v>6</v>
      </c>
      <c r="I7" s="31">
        <v>7</v>
      </c>
      <c r="J7" s="31">
        <v>8</v>
      </c>
      <c r="K7" s="31">
        <v>9</v>
      </c>
      <c r="L7" s="31">
        <v>10</v>
      </c>
    </row>
    <row r="8" spans="1:12" x14ac:dyDescent="0.2">
      <c r="A8" s="30" t="s">
        <v>117</v>
      </c>
      <c r="B8" s="30" t="s">
        <v>11</v>
      </c>
      <c r="C8" s="32">
        <f>C7*'Key Numbers'!$B$8</f>
        <v>798.24991680000005</v>
      </c>
      <c r="D8" s="32">
        <f>D7*'Key Numbers'!$B$8</f>
        <v>1596.4998336000001</v>
      </c>
      <c r="E8" s="32">
        <f>E7*'Key Numbers'!$B$8</f>
        <v>2394.7497504000003</v>
      </c>
      <c r="F8" s="32">
        <f>F7*'Key Numbers'!$B$8</f>
        <v>3192.9996672000002</v>
      </c>
      <c r="G8" s="32">
        <f>G7*'Key Numbers'!$B$8</f>
        <v>3991.2495840000001</v>
      </c>
      <c r="H8" s="32">
        <f>H7*'Key Numbers'!$B$8</f>
        <v>4789.4995008000005</v>
      </c>
      <c r="I8" s="32">
        <f>I7*'Key Numbers'!$B$8</f>
        <v>5587.7494176</v>
      </c>
      <c r="J8" s="32">
        <f>J7*'Key Numbers'!$B$8</f>
        <v>6385.9993344000004</v>
      </c>
      <c r="K8" s="32">
        <f>K7*'Key Numbers'!$B$8</f>
        <v>7184.2492512000008</v>
      </c>
      <c r="L8" s="32">
        <f>L7*'Key Numbers'!$B$8</f>
        <v>7982.4991680000003</v>
      </c>
    </row>
    <row r="9" spans="1:12" x14ac:dyDescent="0.2">
      <c r="A9" s="30" t="s">
        <v>118</v>
      </c>
      <c r="B9" s="30" t="s">
        <v>23</v>
      </c>
      <c r="C9" s="31">
        <f>C8*'Key Numbers'!$B$10+C7*'Key Numbers'!$B$17*'Key Numbers'!$B$13*24</f>
        <v>16579199.038492801</v>
      </c>
      <c r="D9" s="31">
        <f>D8*'Key Numbers'!$B$10+D7*'Key Numbers'!$B$17*'Key Numbers'!$B$13*24</f>
        <v>33158398.076985601</v>
      </c>
      <c r="E9" s="31">
        <f>E8*'Key Numbers'!$B$10+E7*'Key Numbers'!$B$17*'Key Numbers'!$B$13*24</f>
        <v>49737597.115478404</v>
      </c>
      <c r="F9" s="31">
        <f>F8*'Key Numbers'!$B$10+F7*'Key Numbers'!$B$17*'Key Numbers'!$B$13*24</f>
        <v>66316796.153971203</v>
      </c>
      <c r="G9" s="31">
        <f>G8*'Key Numbers'!$B$10+G7*'Key Numbers'!$B$17*'Key Numbers'!$B$13*24</f>
        <v>82895995.192464009</v>
      </c>
      <c r="H9" s="31">
        <f>H8*'Key Numbers'!$B$10+H7*'Key Numbers'!$B$17*'Key Numbers'!$B$13*24</f>
        <v>99475194.230956808</v>
      </c>
      <c r="I9" s="31">
        <f>I8*'Key Numbers'!$B$10+I7*'Key Numbers'!$B$17*'Key Numbers'!$B$13*24</f>
        <v>116054393.26944961</v>
      </c>
      <c r="J9" s="31">
        <f>J8*'Key Numbers'!$B$10+J7*'Key Numbers'!$B$17*'Key Numbers'!$B$13*24</f>
        <v>132633592.30794241</v>
      </c>
      <c r="K9" s="31">
        <f>K8*'Key Numbers'!$B$10+K7*'Key Numbers'!$B$17*'Key Numbers'!$B$13*24</f>
        <v>149212791.34643522</v>
      </c>
      <c r="L9" s="31">
        <f>L8*'Key Numbers'!$B$10+L7*'Key Numbers'!$B$17*'Key Numbers'!$B$13*24</f>
        <v>165791990.38492802</v>
      </c>
    </row>
    <row r="10" spans="1:12" x14ac:dyDescent="0.2">
      <c r="A10" s="30" t="s">
        <v>119</v>
      </c>
      <c r="B10" s="30" t="s">
        <v>26</v>
      </c>
      <c r="C10" s="31">
        <f>C9/(24*'Key Numbers'!$B$13)</f>
        <v>5756.6663328100003</v>
      </c>
      <c r="D10" s="31">
        <f>D9/(24*'Key Numbers'!$B$13)</f>
        <v>11513.332665620001</v>
      </c>
      <c r="E10" s="31">
        <f>E9/(24*'Key Numbers'!$B$13)</f>
        <v>17269.998998430001</v>
      </c>
      <c r="F10" s="31">
        <f>F9/(24*'Key Numbers'!$B$13)</f>
        <v>23026.665331240001</v>
      </c>
      <c r="G10" s="31">
        <f>G9/(24*'Key Numbers'!$B$13)</f>
        <v>28783.331664050002</v>
      </c>
      <c r="H10" s="31">
        <f>H9/(24*'Key Numbers'!$B$13)</f>
        <v>34539.997996860002</v>
      </c>
      <c r="I10" s="31">
        <f>I9/(24*'Key Numbers'!$B$13)</f>
        <v>40296.664329670006</v>
      </c>
      <c r="J10" s="31">
        <f>J9/(24*'Key Numbers'!$B$13)</f>
        <v>46053.330662480003</v>
      </c>
      <c r="K10" s="31">
        <f>K9/(24*'Key Numbers'!$B$13)</f>
        <v>51809.996995290006</v>
      </c>
      <c r="L10" s="31">
        <f>L9/(24*'Key Numbers'!$B$13)</f>
        <v>57566.663328100003</v>
      </c>
    </row>
    <row r="11" spans="1:12" x14ac:dyDescent="0.2">
      <c r="A11" s="30" t="s">
        <v>120</v>
      </c>
      <c r="B11" s="30" t="s">
        <v>29</v>
      </c>
      <c r="C11" s="31">
        <f>ROUND(C9/('Key Numbers'!$B$14*24)*'Key Numbers'!$B$15*(1+'Key Numbers'!$B$16),0)</f>
        <v>4710</v>
      </c>
      <c r="D11" s="31">
        <f>ROUND(D9/('Key Numbers'!$B$14*24)*'Key Numbers'!$B$15*(1+'Key Numbers'!$B$16),0)</f>
        <v>9419</v>
      </c>
      <c r="E11" s="31">
        <f>ROUND(E9/('Key Numbers'!$B$14*24)*'Key Numbers'!$B$15*(1+'Key Numbers'!$B$16),0)</f>
        <v>14129</v>
      </c>
      <c r="F11" s="31">
        <f>ROUND(F9/('Key Numbers'!$B$14*24)*'Key Numbers'!$B$15*(1+'Key Numbers'!$B$16),0)</f>
        <v>18838</v>
      </c>
      <c r="G11" s="31">
        <f>ROUND(G9/('Key Numbers'!$B$14*24)*'Key Numbers'!$B$15*(1+'Key Numbers'!$B$16),0)</f>
        <v>23548</v>
      </c>
      <c r="H11" s="31">
        <f>ROUND(H9/('Key Numbers'!$B$14*24)*'Key Numbers'!$B$15*(1+'Key Numbers'!$B$16),0)</f>
        <v>28257</v>
      </c>
      <c r="I11" s="31">
        <f>ROUND(I9/('Key Numbers'!$B$14*24)*'Key Numbers'!$B$15*(1+'Key Numbers'!$B$16),0)</f>
        <v>32967</v>
      </c>
      <c r="J11" s="31">
        <f>ROUND(J9/('Key Numbers'!$B$14*24)*'Key Numbers'!$B$15*(1+'Key Numbers'!$B$16),0)</f>
        <v>37676</v>
      </c>
      <c r="K11" s="31">
        <f>ROUND(K9/('Key Numbers'!$B$14*24)*'Key Numbers'!$B$15*(1+'Key Numbers'!$B$16),0)</f>
        <v>42386</v>
      </c>
      <c r="L11" s="31">
        <f>ROUND(L9/('Key Numbers'!$B$14*24)*'Key Numbers'!$B$15*(1+'Key Numbers'!$B$16),0)</f>
        <v>47095</v>
      </c>
    </row>
    <row r="12" spans="1:12" x14ac:dyDescent="0.2">
      <c r="A12" s="30" t="s">
        <v>121</v>
      </c>
      <c r="B12" s="30" t="s">
        <v>23</v>
      </c>
      <c r="C12" s="31">
        <f>C9*'Key Numbers'!$B$18</f>
        <v>24868798.557739202</v>
      </c>
      <c r="D12" s="31">
        <f>D9*'Key Numbers'!$B$18</f>
        <v>49737597.115478404</v>
      </c>
      <c r="E12" s="31">
        <f>E9*'Key Numbers'!$B$18</f>
        <v>74606395.67321761</v>
      </c>
      <c r="F12" s="31">
        <f>F9*'Key Numbers'!$B$18</f>
        <v>99475194.230956808</v>
      </c>
      <c r="G12" s="31">
        <f>G9*'Key Numbers'!$B$18</f>
        <v>124343992.78869602</v>
      </c>
      <c r="H12" s="31">
        <f>H9*'Key Numbers'!$B$18</f>
        <v>149212791.34643522</v>
      </c>
      <c r="I12" s="31">
        <f>I9*'Key Numbers'!$B$18</f>
        <v>174081589.90417442</v>
      </c>
      <c r="J12" s="31">
        <f>J9*'Key Numbers'!$B$18</f>
        <v>198950388.46191362</v>
      </c>
      <c r="K12" s="31">
        <f>K9*'Key Numbers'!$B$18</f>
        <v>223819187.01965284</v>
      </c>
      <c r="L12" s="31">
        <f>L9*'Key Numbers'!$B$18</f>
        <v>248687985.57739204</v>
      </c>
    </row>
    <row r="13" spans="1:12" x14ac:dyDescent="0.2">
      <c r="A13" s="30" t="s">
        <v>122</v>
      </c>
      <c r="B13" s="30" t="s">
        <v>59</v>
      </c>
      <c r="C13" s="31">
        <f>ROUNDUP(C11/'Key Numbers'!$B$13,0)</f>
        <v>40</v>
      </c>
      <c r="D13" s="31">
        <f>ROUNDUP(D11/'Key Numbers'!$B$13,0)</f>
        <v>79</v>
      </c>
      <c r="E13" s="31">
        <f>ROUNDUP(E11/'Key Numbers'!$B$13,0)</f>
        <v>118</v>
      </c>
      <c r="F13" s="31">
        <f>ROUNDUP(F11/'Key Numbers'!$B$13,0)</f>
        <v>157</v>
      </c>
      <c r="G13" s="31">
        <f>ROUNDUP(G11/'Key Numbers'!$B$13,0)</f>
        <v>197</v>
      </c>
      <c r="H13" s="31">
        <f>ROUNDUP(H11/'Key Numbers'!$B$13,0)</f>
        <v>236</v>
      </c>
      <c r="I13" s="31">
        <f>ROUNDUP(I11/'Key Numbers'!$B$13,0)</f>
        <v>275</v>
      </c>
      <c r="J13" s="31">
        <f>ROUNDUP(J11/'Key Numbers'!$B$13,0)</f>
        <v>314</v>
      </c>
      <c r="K13" s="31">
        <f>ROUNDUP(K11/'Key Numbers'!$B$13,0)</f>
        <v>354</v>
      </c>
      <c r="L13" s="31">
        <f>ROUNDUP(L11/'Key Numbers'!$B$13,0)</f>
        <v>393</v>
      </c>
    </row>
    <row r="14" spans="1:12" x14ac:dyDescent="0.2">
      <c r="A14" s="30" t="s">
        <v>123</v>
      </c>
      <c r="B14" s="30" t="s">
        <v>29</v>
      </c>
      <c r="C14" s="32">
        <f>'Key Numbers'!$B$27</f>
        <v>17400</v>
      </c>
      <c r="D14" s="32">
        <f>'Key Numbers'!$B$27</f>
        <v>17400</v>
      </c>
      <c r="E14" s="32">
        <f>'Key Numbers'!$B$27</f>
        <v>17400</v>
      </c>
      <c r="F14" s="32">
        <f>'Key Numbers'!$B$27</f>
        <v>17400</v>
      </c>
      <c r="G14" s="32">
        <f>'Key Numbers'!$B$27</f>
        <v>17400</v>
      </c>
      <c r="H14" s="32">
        <f>'Key Numbers'!$B$27</f>
        <v>17400</v>
      </c>
      <c r="I14" s="32">
        <f>'Key Numbers'!$B$27</f>
        <v>17400</v>
      </c>
      <c r="J14" s="32">
        <f>'Key Numbers'!$B$27</f>
        <v>17400</v>
      </c>
      <c r="K14" s="32">
        <f>'Key Numbers'!$B$27</f>
        <v>17400</v>
      </c>
      <c r="L14" s="32">
        <f>'Key Numbers'!$B$27</f>
        <v>17400</v>
      </c>
    </row>
    <row r="15" spans="1:12" x14ac:dyDescent="0.2">
      <c r="A15" s="30" t="s">
        <v>124</v>
      </c>
      <c r="B15" s="30" t="s">
        <v>67</v>
      </c>
      <c r="C15" s="33">
        <f t="shared" ref="C15:L15" si="0">C11/C14</f>
        <v>0.27068965517241378</v>
      </c>
      <c r="D15" s="33">
        <f t="shared" si="0"/>
        <v>0.54132183908045972</v>
      </c>
      <c r="E15" s="33">
        <f t="shared" si="0"/>
        <v>0.81201149425287356</v>
      </c>
      <c r="F15" s="33">
        <f t="shared" si="0"/>
        <v>1.0826436781609194</v>
      </c>
      <c r="G15" s="33">
        <f t="shared" si="0"/>
        <v>1.3533333333333333</v>
      </c>
      <c r="H15" s="33">
        <f t="shared" si="0"/>
        <v>1.6239655172413794</v>
      </c>
      <c r="I15" s="33">
        <f t="shared" si="0"/>
        <v>1.894655172413793</v>
      </c>
      <c r="J15" s="33">
        <f t="shared" si="0"/>
        <v>2.1652873563218389</v>
      </c>
      <c r="K15" s="33">
        <f t="shared" si="0"/>
        <v>2.4359770114942529</v>
      </c>
      <c r="L15" s="33">
        <f t="shared" si="0"/>
        <v>2.7066091954022991</v>
      </c>
    </row>
    <row r="17" spans="1:12" x14ac:dyDescent="0.2">
      <c r="A17" s="3" t="s">
        <v>125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2" x14ac:dyDescent="0.2">
      <c r="A18" s="30" t="s">
        <v>126</v>
      </c>
      <c r="B18" s="30" t="s">
        <v>48</v>
      </c>
      <c r="C18" s="34">
        <f t="shared" ref="C18:L18" si="1">C8/1000</f>
        <v>0.79824991680000001</v>
      </c>
      <c r="D18" s="34">
        <f t="shared" si="1"/>
        <v>1.5964998336</v>
      </c>
      <c r="E18" s="34">
        <f t="shared" si="1"/>
        <v>2.3947497504000004</v>
      </c>
      <c r="F18" s="34">
        <f t="shared" si="1"/>
        <v>3.1929996672000001</v>
      </c>
      <c r="G18" s="34">
        <f t="shared" si="1"/>
        <v>3.9912495840000002</v>
      </c>
      <c r="H18" s="34">
        <f t="shared" si="1"/>
        <v>4.7894995008000008</v>
      </c>
      <c r="I18" s="34">
        <f t="shared" si="1"/>
        <v>5.5877494176000004</v>
      </c>
      <c r="J18" s="34">
        <f t="shared" si="1"/>
        <v>6.3859993344000001</v>
      </c>
      <c r="K18" s="34">
        <f t="shared" si="1"/>
        <v>7.1842492512000007</v>
      </c>
      <c r="L18" s="34">
        <f t="shared" si="1"/>
        <v>7.9824991680000004</v>
      </c>
    </row>
    <row r="19" spans="1:12" x14ac:dyDescent="0.2">
      <c r="A19" s="35" t="s">
        <v>127</v>
      </c>
      <c r="B19" s="35" t="s">
        <v>11</v>
      </c>
      <c r="C19" s="36">
        <f t="shared" ref="C19:L19" si="2">C18*1000</f>
        <v>798.24991680000005</v>
      </c>
      <c r="D19" s="36">
        <f t="shared" si="2"/>
        <v>1596.4998336000001</v>
      </c>
      <c r="E19" s="36">
        <f t="shared" si="2"/>
        <v>2394.7497504000003</v>
      </c>
      <c r="F19" s="36">
        <f t="shared" si="2"/>
        <v>3192.9996672000002</v>
      </c>
      <c r="G19" s="36">
        <f t="shared" si="2"/>
        <v>3991.2495840000001</v>
      </c>
      <c r="H19" s="36">
        <f t="shared" si="2"/>
        <v>4789.4995008000005</v>
      </c>
      <c r="I19" s="36">
        <f t="shared" si="2"/>
        <v>5587.7494176</v>
      </c>
      <c r="J19" s="36">
        <f t="shared" si="2"/>
        <v>6385.9993344000004</v>
      </c>
      <c r="K19" s="36">
        <f t="shared" si="2"/>
        <v>7184.2492512000008</v>
      </c>
      <c r="L19" s="36">
        <f t="shared" si="2"/>
        <v>7982.4991680000003</v>
      </c>
    </row>
    <row r="20" spans="1:12" x14ac:dyDescent="0.2">
      <c r="A20" s="30" t="s">
        <v>128</v>
      </c>
      <c r="B20" s="30" t="s">
        <v>48</v>
      </c>
      <c r="C20" s="31">
        <f>'Key Numbers'!$B$22*C7</f>
        <v>47</v>
      </c>
      <c r="D20" s="31">
        <f>'Key Numbers'!$B$22*D7</f>
        <v>94</v>
      </c>
      <c r="E20" s="31">
        <f>'Key Numbers'!$B$22*E7</f>
        <v>141</v>
      </c>
      <c r="F20" s="31">
        <f>'Key Numbers'!$B$22*F7</f>
        <v>188</v>
      </c>
      <c r="G20" s="31">
        <f>'Key Numbers'!$B$22*G7</f>
        <v>235</v>
      </c>
      <c r="H20" s="31">
        <f>'Key Numbers'!$B$22*H7</f>
        <v>282</v>
      </c>
      <c r="I20" s="31">
        <f>'Key Numbers'!$B$22*I7</f>
        <v>329</v>
      </c>
      <c r="J20" s="31">
        <f>'Key Numbers'!$B$22*J7</f>
        <v>376</v>
      </c>
      <c r="K20" s="31">
        <f>'Key Numbers'!$B$22*K7</f>
        <v>423</v>
      </c>
      <c r="L20" s="31">
        <f>'Key Numbers'!$B$22*L7</f>
        <v>470</v>
      </c>
    </row>
    <row r="21" spans="1:12" x14ac:dyDescent="0.2">
      <c r="A21" s="35" t="s">
        <v>127</v>
      </c>
      <c r="B21" s="35" t="s">
        <v>11</v>
      </c>
      <c r="C21" s="36">
        <f t="shared" ref="C21:L21" si="3">C20*1000</f>
        <v>47000</v>
      </c>
      <c r="D21" s="36">
        <f t="shared" si="3"/>
        <v>94000</v>
      </c>
      <c r="E21" s="36">
        <f t="shared" si="3"/>
        <v>141000</v>
      </c>
      <c r="F21" s="36">
        <f t="shared" si="3"/>
        <v>188000</v>
      </c>
      <c r="G21" s="36">
        <f t="shared" si="3"/>
        <v>235000</v>
      </c>
      <c r="H21" s="36">
        <f t="shared" si="3"/>
        <v>282000</v>
      </c>
      <c r="I21" s="36">
        <f t="shared" si="3"/>
        <v>329000</v>
      </c>
      <c r="J21" s="36">
        <f t="shared" si="3"/>
        <v>376000</v>
      </c>
      <c r="K21" s="36">
        <f t="shared" si="3"/>
        <v>423000</v>
      </c>
      <c r="L21" s="36">
        <f t="shared" si="3"/>
        <v>470000</v>
      </c>
    </row>
    <row r="22" spans="1:12" x14ac:dyDescent="0.2">
      <c r="A22" s="30" t="s">
        <v>129</v>
      </c>
      <c r="B22" s="30" t="s">
        <v>48</v>
      </c>
      <c r="C22" s="37">
        <f>'Key Numbers'!$B$23*C7</f>
        <v>1.6</v>
      </c>
      <c r="D22" s="37">
        <f>'Key Numbers'!$B$23*D7</f>
        <v>3.2</v>
      </c>
      <c r="E22" s="37">
        <f>'Key Numbers'!$B$23*E7</f>
        <v>4.8000000000000007</v>
      </c>
      <c r="F22" s="37">
        <f>'Key Numbers'!$B$23*F7</f>
        <v>6.4</v>
      </c>
      <c r="G22" s="37">
        <f>'Key Numbers'!$B$23*G7</f>
        <v>8</v>
      </c>
      <c r="H22" s="37">
        <f>'Key Numbers'!$B$23*H7</f>
        <v>9.6000000000000014</v>
      </c>
      <c r="I22" s="37">
        <f>'Key Numbers'!$B$23*I7</f>
        <v>11.200000000000001</v>
      </c>
      <c r="J22" s="37">
        <f>'Key Numbers'!$B$23*J7</f>
        <v>12.8</v>
      </c>
      <c r="K22" s="37">
        <f>'Key Numbers'!$B$23*K7</f>
        <v>14.4</v>
      </c>
      <c r="L22" s="37">
        <f>'Key Numbers'!$B$23*L7</f>
        <v>16</v>
      </c>
    </row>
    <row r="23" spans="1:12" x14ac:dyDescent="0.2">
      <c r="A23" s="35" t="s">
        <v>127</v>
      </c>
      <c r="B23" s="35" t="s">
        <v>11</v>
      </c>
      <c r="C23" s="36">
        <f t="shared" ref="C23:L23" si="4">C22*1000</f>
        <v>1600</v>
      </c>
      <c r="D23" s="36">
        <f t="shared" si="4"/>
        <v>3200</v>
      </c>
      <c r="E23" s="36">
        <f t="shared" si="4"/>
        <v>4800.0000000000009</v>
      </c>
      <c r="F23" s="36">
        <f t="shared" si="4"/>
        <v>6400</v>
      </c>
      <c r="G23" s="36">
        <f t="shared" si="4"/>
        <v>8000</v>
      </c>
      <c r="H23" s="36">
        <f t="shared" si="4"/>
        <v>9600.0000000000018</v>
      </c>
      <c r="I23" s="36">
        <f t="shared" si="4"/>
        <v>11200.000000000002</v>
      </c>
      <c r="J23" s="36">
        <f t="shared" si="4"/>
        <v>12800</v>
      </c>
      <c r="K23" s="36">
        <f t="shared" si="4"/>
        <v>14400</v>
      </c>
      <c r="L23" s="36">
        <f t="shared" si="4"/>
        <v>16000</v>
      </c>
    </row>
    <row r="24" spans="1:12" x14ac:dyDescent="0.2">
      <c r="A24" s="30" t="s">
        <v>130</v>
      </c>
      <c r="B24" s="30" t="s">
        <v>48</v>
      </c>
      <c r="C24" s="37">
        <f>C20*'Key Numbers'!$B$24</f>
        <v>16.45</v>
      </c>
      <c r="D24" s="37">
        <f>D20*'Key Numbers'!$B$24</f>
        <v>32.9</v>
      </c>
      <c r="E24" s="37">
        <f>E20*'Key Numbers'!$B$24</f>
        <v>49.349999999999994</v>
      </c>
      <c r="F24" s="37">
        <f>F20*'Key Numbers'!$B$24</f>
        <v>65.8</v>
      </c>
      <c r="G24" s="37">
        <f>G20*'Key Numbers'!$B$24</f>
        <v>82.25</v>
      </c>
      <c r="H24" s="37">
        <f>H20*'Key Numbers'!$B$24</f>
        <v>98.699999999999989</v>
      </c>
      <c r="I24" s="37">
        <f>I20*'Key Numbers'!$B$24</f>
        <v>115.14999999999999</v>
      </c>
      <c r="J24" s="37">
        <f>J20*'Key Numbers'!$B$24</f>
        <v>131.6</v>
      </c>
      <c r="K24" s="37">
        <f>K20*'Key Numbers'!$B$24</f>
        <v>148.04999999999998</v>
      </c>
      <c r="L24" s="37">
        <f>L20*'Key Numbers'!$B$24</f>
        <v>164.5</v>
      </c>
    </row>
    <row r="25" spans="1:12" x14ac:dyDescent="0.2">
      <c r="A25" s="35" t="s">
        <v>127</v>
      </c>
      <c r="B25" s="35" t="s">
        <v>11</v>
      </c>
      <c r="C25" s="36">
        <f t="shared" ref="C25:L25" si="5">C24*1000</f>
        <v>16450</v>
      </c>
      <c r="D25" s="36">
        <f t="shared" si="5"/>
        <v>32900</v>
      </c>
      <c r="E25" s="36">
        <f t="shared" si="5"/>
        <v>49349.999999999993</v>
      </c>
      <c r="F25" s="36">
        <f t="shared" si="5"/>
        <v>65800</v>
      </c>
      <c r="G25" s="36">
        <f t="shared" si="5"/>
        <v>82250</v>
      </c>
      <c r="H25" s="36">
        <f t="shared" si="5"/>
        <v>98699.999999999985</v>
      </c>
      <c r="I25" s="36">
        <f t="shared" si="5"/>
        <v>115149.99999999999</v>
      </c>
      <c r="J25" s="36">
        <f t="shared" si="5"/>
        <v>131600</v>
      </c>
      <c r="K25" s="36">
        <f t="shared" si="5"/>
        <v>148049.99999999997</v>
      </c>
      <c r="L25" s="36">
        <f t="shared" si="5"/>
        <v>164500</v>
      </c>
    </row>
    <row r="26" spans="1:12" x14ac:dyDescent="0.2">
      <c r="A26" s="30" t="s">
        <v>131</v>
      </c>
      <c r="B26" s="30" t="s">
        <v>48</v>
      </c>
      <c r="C26" s="32">
        <f>'Key Numbers'!$B$28</f>
        <v>30</v>
      </c>
      <c r="D26" s="32">
        <f>'Key Numbers'!$B$28</f>
        <v>30</v>
      </c>
      <c r="E26" s="32">
        <f>'Key Numbers'!$B$28</f>
        <v>30</v>
      </c>
      <c r="F26" s="32">
        <f>'Key Numbers'!$B$28</f>
        <v>30</v>
      </c>
      <c r="G26" s="32">
        <f>'Key Numbers'!$B$28</f>
        <v>30</v>
      </c>
      <c r="H26" s="32">
        <f>'Key Numbers'!$B$28</f>
        <v>30</v>
      </c>
      <c r="I26" s="32">
        <f>'Key Numbers'!$B$28</f>
        <v>30</v>
      </c>
      <c r="J26" s="32">
        <f>'Key Numbers'!$B$28</f>
        <v>30</v>
      </c>
      <c r="K26" s="32">
        <f>'Key Numbers'!$B$28</f>
        <v>30</v>
      </c>
      <c r="L26" s="32">
        <f>'Key Numbers'!$B$28</f>
        <v>30</v>
      </c>
    </row>
    <row r="27" spans="1:12" x14ac:dyDescent="0.2">
      <c r="A27" s="35" t="s">
        <v>127</v>
      </c>
      <c r="B27" s="35" t="s">
        <v>11</v>
      </c>
      <c r="C27" s="36">
        <f t="shared" ref="C27:L27" si="6">C26*1000</f>
        <v>30000</v>
      </c>
      <c r="D27" s="36">
        <f t="shared" si="6"/>
        <v>30000</v>
      </c>
      <c r="E27" s="36">
        <f t="shared" si="6"/>
        <v>30000</v>
      </c>
      <c r="F27" s="36">
        <f t="shared" si="6"/>
        <v>30000</v>
      </c>
      <c r="G27" s="36">
        <f t="shared" si="6"/>
        <v>30000</v>
      </c>
      <c r="H27" s="36">
        <f t="shared" si="6"/>
        <v>30000</v>
      </c>
      <c r="I27" s="36">
        <f t="shared" si="6"/>
        <v>30000</v>
      </c>
      <c r="J27" s="36">
        <f t="shared" si="6"/>
        <v>30000</v>
      </c>
      <c r="K27" s="36">
        <f t="shared" si="6"/>
        <v>30000</v>
      </c>
      <c r="L27" s="36">
        <f t="shared" si="6"/>
        <v>30000</v>
      </c>
    </row>
    <row r="28" spans="1:12" x14ac:dyDescent="0.2">
      <c r="A28" s="30" t="s">
        <v>132</v>
      </c>
      <c r="B28" s="30" t="s">
        <v>48</v>
      </c>
      <c r="C28" s="38">
        <f>'Key Numbers'!$B$20</f>
        <v>7.43</v>
      </c>
      <c r="D28" s="38"/>
      <c r="E28" s="38"/>
      <c r="F28" s="38"/>
      <c r="G28" s="38"/>
      <c r="H28" s="38"/>
      <c r="I28" s="38"/>
      <c r="J28" s="38"/>
      <c r="K28" s="38"/>
      <c r="L28" s="38"/>
    </row>
    <row r="30" spans="1:12" x14ac:dyDescent="0.2">
      <c r="A30" s="2" t="s">
        <v>133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L41"/>
  <sheetViews>
    <sheetView zoomScaleNormal="100" workbookViewId="0">
      <selection activeCell="D36" sqref="D36"/>
    </sheetView>
  </sheetViews>
  <sheetFormatPr baseColWidth="10" defaultColWidth="8.6640625" defaultRowHeight="15" x14ac:dyDescent="0.2"/>
  <cols>
    <col min="1" max="1" width="44" customWidth="1"/>
    <col min="2" max="2" width="12" customWidth="1"/>
    <col min="3" max="12" width="13" customWidth="1"/>
  </cols>
  <sheetData>
    <row r="1" spans="1:12" ht="17" x14ac:dyDescent="0.2">
      <c r="A1" s="1" t="s">
        <v>134</v>
      </c>
    </row>
    <row r="2" spans="1:12" x14ac:dyDescent="0.2">
      <c r="A2" s="29" t="s">
        <v>80</v>
      </c>
      <c r="B2" s="29" t="s">
        <v>81</v>
      </c>
      <c r="C2" s="29" t="s">
        <v>82</v>
      </c>
      <c r="D2" s="29" t="s">
        <v>83</v>
      </c>
      <c r="E2" s="29" t="s">
        <v>84</v>
      </c>
      <c r="F2" s="29" t="s">
        <v>85</v>
      </c>
      <c r="G2" s="29" t="s">
        <v>86</v>
      </c>
      <c r="H2" s="29" t="s">
        <v>87</v>
      </c>
      <c r="I2" s="29" t="s">
        <v>88</v>
      </c>
      <c r="J2" s="29" t="s">
        <v>89</v>
      </c>
      <c r="K2" s="29" t="s">
        <v>90</v>
      </c>
      <c r="L2" s="29" t="s">
        <v>91</v>
      </c>
    </row>
    <row r="3" spans="1:12" x14ac:dyDescent="0.2">
      <c r="A3" s="30" t="s">
        <v>92</v>
      </c>
      <c r="C3" s="30" t="s">
        <v>93</v>
      </c>
      <c r="D3" s="30" t="s">
        <v>94</v>
      </c>
      <c r="E3" s="30" t="s">
        <v>95</v>
      </c>
      <c r="F3" s="30" t="s">
        <v>96</v>
      </c>
      <c r="G3" s="30" t="s">
        <v>97</v>
      </c>
      <c r="H3" s="30" t="s">
        <v>98</v>
      </c>
      <c r="I3" s="30" t="s">
        <v>99</v>
      </c>
      <c r="J3" s="30" t="s">
        <v>100</v>
      </c>
      <c r="K3" s="30" t="s">
        <v>101</v>
      </c>
      <c r="L3" s="30" t="s">
        <v>102</v>
      </c>
    </row>
    <row r="4" spans="1:12" x14ac:dyDescent="0.2">
      <c r="A4" s="30" t="s">
        <v>103</v>
      </c>
      <c r="C4" s="2" t="s">
        <v>104</v>
      </c>
      <c r="D4" s="2" t="s">
        <v>105</v>
      </c>
      <c r="E4" s="2" t="s">
        <v>106</v>
      </c>
      <c r="F4" s="2" t="s">
        <v>107</v>
      </c>
      <c r="G4" s="2" t="s">
        <v>108</v>
      </c>
      <c r="H4" s="2" t="s">
        <v>109</v>
      </c>
      <c r="I4" s="2" t="s">
        <v>110</v>
      </c>
      <c r="J4" s="2" t="s">
        <v>111</v>
      </c>
      <c r="K4" s="2" t="s">
        <v>112</v>
      </c>
      <c r="L4" s="2" t="s">
        <v>113</v>
      </c>
    </row>
    <row r="6" spans="1:12" x14ac:dyDescent="0.2">
      <c r="A6" s="3" t="s">
        <v>135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x14ac:dyDescent="0.2">
      <c r="A7" s="30" t="s">
        <v>136</v>
      </c>
      <c r="B7" s="30" t="s">
        <v>67</v>
      </c>
      <c r="C7" s="39">
        <f>'Key Numbers'!$B$32</f>
        <v>0.19999999999999996</v>
      </c>
      <c r="D7" s="39">
        <f>'Key Numbers'!$B$32</f>
        <v>0.19999999999999996</v>
      </c>
      <c r="E7" s="39">
        <f>'Key Numbers'!$B$32</f>
        <v>0.19999999999999996</v>
      </c>
      <c r="F7" s="39">
        <f>'Key Numbers'!$B$32</f>
        <v>0.19999999999999996</v>
      </c>
      <c r="G7" s="39">
        <f>'Key Numbers'!$B$32</f>
        <v>0.19999999999999996</v>
      </c>
      <c r="H7" s="39">
        <f>'Key Numbers'!$B$32</f>
        <v>0.19999999999999996</v>
      </c>
      <c r="I7" s="39">
        <f>'Key Numbers'!$B$32</f>
        <v>0.19999999999999996</v>
      </c>
      <c r="J7" s="39">
        <f>'Key Numbers'!$B$32</f>
        <v>0.19999999999999996</v>
      </c>
      <c r="K7" s="39">
        <f>'Key Numbers'!$B$32</f>
        <v>0.19999999999999996</v>
      </c>
      <c r="L7" s="39">
        <f>'Key Numbers'!$B$32</f>
        <v>0.19999999999999996</v>
      </c>
    </row>
    <row r="8" spans="1:12" x14ac:dyDescent="0.2">
      <c r="A8" s="30" t="s">
        <v>137</v>
      </c>
      <c r="B8" s="30" t="s">
        <v>67</v>
      </c>
      <c r="C8" s="39">
        <f>'Key Numbers'!$B$30</f>
        <v>0.4</v>
      </c>
      <c r="D8" s="39">
        <f>'Key Numbers'!$B$30</f>
        <v>0.4</v>
      </c>
      <c r="E8" s="39">
        <f>'Key Numbers'!$B$30</f>
        <v>0.4</v>
      </c>
      <c r="F8" s="39">
        <f>'Key Numbers'!$B$30</f>
        <v>0.4</v>
      </c>
      <c r="G8" s="39">
        <f>'Key Numbers'!$B$30</f>
        <v>0.4</v>
      </c>
      <c r="H8" s="39">
        <f>'Key Numbers'!$B$30</f>
        <v>0.4</v>
      </c>
      <c r="I8" s="39">
        <f>'Key Numbers'!$B$30</f>
        <v>0.4</v>
      </c>
      <c r="J8" s="39">
        <f>'Key Numbers'!$B$30</f>
        <v>0.4</v>
      </c>
      <c r="K8" s="39">
        <f>'Key Numbers'!$B$30</f>
        <v>0.4</v>
      </c>
      <c r="L8" s="39">
        <f>'Key Numbers'!$B$30</f>
        <v>0.4</v>
      </c>
    </row>
    <row r="9" spans="1:12" x14ac:dyDescent="0.2">
      <c r="A9" s="30" t="s">
        <v>138</v>
      </c>
      <c r="B9" s="30" t="s">
        <v>67</v>
      </c>
      <c r="C9" s="39">
        <f>'Key Numbers'!$B$31</f>
        <v>0.4</v>
      </c>
      <c r="D9" s="39">
        <f>'Key Numbers'!$B$31</f>
        <v>0.4</v>
      </c>
      <c r="E9" s="39">
        <f>'Key Numbers'!$B$31</f>
        <v>0.4</v>
      </c>
      <c r="F9" s="39">
        <f>'Key Numbers'!$B$31</f>
        <v>0.4</v>
      </c>
      <c r="G9" s="39">
        <f>'Key Numbers'!$B$31</f>
        <v>0.4</v>
      </c>
      <c r="H9" s="39">
        <f>'Key Numbers'!$B$31</f>
        <v>0.4</v>
      </c>
      <c r="I9" s="39">
        <f>'Key Numbers'!$B$31</f>
        <v>0.4</v>
      </c>
      <c r="J9" s="39">
        <f>'Key Numbers'!$B$31</f>
        <v>0.4</v>
      </c>
      <c r="K9" s="39">
        <f>'Key Numbers'!$B$31</f>
        <v>0.4</v>
      </c>
      <c r="L9" s="39">
        <f>'Key Numbers'!$B$31</f>
        <v>0.4</v>
      </c>
    </row>
    <row r="11" spans="1:12" x14ac:dyDescent="0.2">
      <c r="A11" s="3" t="s">
        <v>139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12" x14ac:dyDescent="0.2">
      <c r="A12" s="30" t="s">
        <v>140</v>
      </c>
      <c r="B12" s="30" t="s">
        <v>23</v>
      </c>
      <c r="C12" s="32">
        <f>'All at USDF'!C9</f>
        <v>16579199.038492801</v>
      </c>
      <c r="D12" s="32">
        <f>'All at USDF'!D9</f>
        <v>33158398.076985601</v>
      </c>
      <c r="E12" s="32">
        <f>'All at USDF'!E9</f>
        <v>49737597.115478404</v>
      </c>
      <c r="F12" s="32">
        <f>'All at USDF'!F9</f>
        <v>66316796.153971203</v>
      </c>
      <c r="G12" s="32">
        <f>'All at USDF'!G9</f>
        <v>82895995.192464009</v>
      </c>
      <c r="H12" s="32">
        <f>'All at USDF'!H9</f>
        <v>99475194.230956808</v>
      </c>
      <c r="I12" s="32">
        <f>'All at USDF'!I9</f>
        <v>116054393.26944961</v>
      </c>
      <c r="J12" s="32">
        <f>'All at USDF'!J9</f>
        <v>132633592.30794241</v>
      </c>
      <c r="K12" s="32">
        <f>'All at USDF'!K9</f>
        <v>149212791.34643522</v>
      </c>
      <c r="L12" s="32">
        <f>'All at USDF'!L9</f>
        <v>165791990.38492802</v>
      </c>
    </row>
    <row r="13" spans="1:12" x14ac:dyDescent="0.2">
      <c r="A13" s="30" t="s">
        <v>141</v>
      </c>
      <c r="B13" s="30" t="s">
        <v>23</v>
      </c>
      <c r="C13" s="31">
        <f t="shared" ref="C13:L13" si="0">C12*C7</f>
        <v>3315839.8076985595</v>
      </c>
      <c r="D13" s="31">
        <f t="shared" si="0"/>
        <v>6631679.615397119</v>
      </c>
      <c r="E13" s="31">
        <f t="shared" si="0"/>
        <v>9947519.4230956789</v>
      </c>
      <c r="F13" s="31">
        <f t="shared" si="0"/>
        <v>13263359.230794238</v>
      </c>
      <c r="G13" s="31">
        <f t="shared" si="0"/>
        <v>16579199.038492799</v>
      </c>
      <c r="H13" s="31">
        <f t="shared" si="0"/>
        <v>19895038.846191358</v>
      </c>
      <c r="I13" s="31">
        <f t="shared" si="0"/>
        <v>23210878.653889917</v>
      </c>
      <c r="J13" s="31">
        <f t="shared" si="0"/>
        <v>26526718.461588476</v>
      </c>
      <c r="K13" s="31">
        <f t="shared" si="0"/>
        <v>29842558.269287039</v>
      </c>
      <c r="L13" s="31">
        <f t="shared" si="0"/>
        <v>33158398.076985598</v>
      </c>
    </row>
    <row r="14" spans="1:12" x14ac:dyDescent="0.2">
      <c r="A14" s="30" t="s">
        <v>142</v>
      </c>
      <c r="B14" s="30" t="s">
        <v>23</v>
      </c>
      <c r="C14" s="31">
        <f t="shared" ref="C14:L14" si="1">C12*C8</f>
        <v>6631679.6153971208</v>
      </c>
      <c r="D14" s="31">
        <f t="shared" si="1"/>
        <v>13263359.230794242</v>
      </c>
      <c r="E14" s="31">
        <f t="shared" si="1"/>
        <v>19895038.846191362</v>
      </c>
      <c r="F14" s="31">
        <f t="shared" si="1"/>
        <v>26526718.461588483</v>
      </c>
      <c r="G14" s="31">
        <f t="shared" si="1"/>
        <v>33158398.076985605</v>
      </c>
      <c r="H14" s="31">
        <f t="shared" si="1"/>
        <v>39790077.692382723</v>
      </c>
      <c r="I14" s="31">
        <f t="shared" si="1"/>
        <v>46421757.307779849</v>
      </c>
      <c r="J14" s="31">
        <f t="shared" si="1"/>
        <v>53053436.923176967</v>
      </c>
      <c r="K14" s="31">
        <f t="shared" si="1"/>
        <v>59685116.538574092</v>
      </c>
      <c r="L14" s="31">
        <f t="shared" si="1"/>
        <v>66316796.15397121</v>
      </c>
    </row>
    <row r="15" spans="1:12" x14ac:dyDescent="0.2">
      <c r="A15" s="30" t="s">
        <v>143</v>
      </c>
      <c r="B15" s="30" t="s">
        <v>23</v>
      </c>
      <c r="C15" s="31">
        <f t="shared" ref="C15:L15" si="2">C12*C9</f>
        <v>6631679.6153971208</v>
      </c>
      <c r="D15" s="31">
        <f t="shared" si="2"/>
        <v>13263359.230794242</v>
      </c>
      <c r="E15" s="31">
        <f t="shared" si="2"/>
        <v>19895038.846191362</v>
      </c>
      <c r="F15" s="31">
        <f t="shared" si="2"/>
        <v>26526718.461588483</v>
      </c>
      <c r="G15" s="31">
        <f t="shared" si="2"/>
        <v>33158398.076985605</v>
      </c>
      <c r="H15" s="31">
        <f t="shared" si="2"/>
        <v>39790077.692382723</v>
      </c>
      <c r="I15" s="31">
        <f t="shared" si="2"/>
        <v>46421757.307779849</v>
      </c>
      <c r="J15" s="31">
        <f t="shared" si="2"/>
        <v>53053436.923176967</v>
      </c>
      <c r="K15" s="31">
        <f t="shared" si="2"/>
        <v>59685116.538574092</v>
      </c>
      <c r="L15" s="31">
        <f t="shared" si="2"/>
        <v>66316796.15397121</v>
      </c>
    </row>
    <row r="17" spans="1:12" x14ac:dyDescent="0.2">
      <c r="A17" s="3" t="s">
        <v>144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2" x14ac:dyDescent="0.2">
      <c r="A18" s="30" t="s">
        <v>141</v>
      </c>
      <c r="B18" s="30" t="s">
        <v>26</v>
      </c>
      <c r="C18" s="31">
        <f>C13/(24*'Key Numbers'!$B$13)</f>
        <v>1151.3332665619998</v>
      </c>
      <c r="D18" s="31">
        <f>D13/(24*'Key Numbers'!$B$13)</f>
        <v>2302.6665331239997</v>
      </c>
      <c r="E18" s="31">
        <f>E13/(24*'Key Numbers'!$B$13)</f>
        <v>3453.9997996859997</v>
      </c>
      <c r="F18" s="31">
        <f>F13/(24*'Key Numbers'!$B$13)</f>
        <v>4605.3330662479993</v>
      </c>
      <c r="G18" s="31">
        <f>G13/(24*'Key Numbers'!$B$13)</f>
        <v>5756.6663328099994</v>
      </c>
      <c r="H18" s="31">
        <f>H13/(24*'Key Numbers'!$B$13)</f>
        <v>6907.9995993719995</v>
      </c>
      <c r="I18" s="31">
        <f>I13/(24*'Key Numbers'!$B$13)</f>
        <v>8059.3328659339986</v>
      </c>
      <c r="J18" s="31">
        <f>J13/(24*'Key Numbers'!$B$13)</f>
        <v>9210.6661324959987</v>
      </c>
      <c r="K18" s="31">
        <f>K13/(24*'Key Numbers'!$B$13)</f>
        <v>10361.999399057999</v>
      </c>
      <c r="L18" s="31">
        <f>L13/(24*'Key Numbers'!$B$13)</f>
        <v>11513.332665619999</v>
      </c>
    </row>
    <row r="19" spans="1:12" x14ac:dyDescent="0.2">
      <c r="A19" s="30" t="s">
        <v>142</v>
      </c>
      <c r="B19" s="30" t="s">
        <v>26</v>
      </c>
      <c r="C19" s="31">
        <f>C14/(24*'Key Numbers'!$B$13)</f>
        <v>2302.6665331240001</v>
      </c>
      <c r="D19" s="31">
        <f>D14/(24*'Key Numbers'!$B$13)</f>
        <v>4605.3330662480003</v>
      </c>
      <c r="E19" s="31">
        <f>E14/(24*'Key Numbers'!$B$13)</f>
        <v>6907.9995993720004</v>
      </c>
      <c r="F19" s="31">
        <f>F14/(24*'Key Numbers'!$B$13)</f>
        <v>9210.6661324960005</v>
      </c>
      <c r="G19" s="31">
        <f>G14/(24*'Key Numbers'!$B$13)</f>
        <v>11513.332665620002</v>
      </c>
      <c r="H19" s="31">
        <f>H14/(24*'Key Numbers'!$B$13)</f>
        <v>13815.999198744001</v>
      </c>
      <c r="I19" s="31">
        <f>I14/(24*'Key Numbers'!$B$13)</f>
        <v>16118.665731868003</v>
      </c>
      <c r="J19" s="31">
        <f>J14/(24*'Key Numbers'!$B$13)</f>
        <v>18421.332264992001</v>
      </c>
      <c r="K19" s="31">
        <f>K14/(24*'Key Numbers'!$B$13)</f>
        <v>20723.998798116005</v>
      </c>
      <c r="L19" s="31">
        <f>L14/(24*'Key Numbers'!$B$13)</f>
        <v>23026.665331240005</v>
      </c>
    </row>
    <row r="20" spans="1:12" x14ac:dyDescent="0.2">
      <c r="A20" s="30" t="s">
        <v>143</v>
      </c>
      <c r="B20" s="30" t="s">
        <v>26</v>
      </c>
      <c r="C20" s="31">
        <f>C15/(24*'Key Numbers'!$B$13)</f>
        <v>2302.6665331240001</v>
      </c>
      <c r="D20" s="31">
        <f>D15/(24*'Key Numbers'!$B$13)</f>
        <v>4605.3330662480003</v>
      </c>
      <c r="E20" s="31">
        <f>E15/(24*'Key Numbers'!$B$13)</f>
        <v>6907.9995993720004</v>
      </c>
      <c r="F20" s="31">
        <f>F15/(24*'Key Numbers'!$B$13)</f>
        <v>9210.6661324960005</v>
      </c>
      <c r="G20" s="31">
        <f>G15/(24*'Key Numbers'!$B$13)</f>
        <v>11513.332665620002</v>
      </c>
      <c r="H20" s="31">
        <f>H15/(24*'Key Numbers'!$B$13)</f>
        <v>13815.999198744001</v>
      </c>
      <c r="I20" s="31">
        <f>I15/(24*'Key Numbers'!$B$13)</f>
        <v>16118.665731868003</v>
      </c>
      <c r="J20" s="31">
        <f>J15/(24*'Key Numbers'!$B$13)</f>
        <v>18421.332264992001</v>
      </c>
      <c r="K20" s="31">
        <f>K15/(24*'Key Numbers'!$B$13)</f>
        <v>20723.998798116005</v>
      </c>
      <c r="L20" s="31">
        <f>L15/(24*'Key Numbers'!$B$13)</f>
        <v>23026.665331240005</v>
      </c>
    </row>
    <row r="22" spans="1:12" x14ac:dyDescent="0.2">
      <c r="A22" s="3" t="s">
        <v>145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 x14ac:dyDescent="0.2">
      <c r="A23" s="30" t="s">
        <v>141</v>
      </c>
      <c r="B23" s="30" t="s">
        <v>29</v>
      </c>
      <c r="C23" s="31">
        <f>ROUND('All at USDF'!C11*C7,0)</f>
        <v>942</v>
      </c>
      <c r="D23" s="31">
        <f>ROUND('All at USDF'!D11*D7,0)</f>
        <v>1884</v>
      </c>
      <c r="E23" s="31">
        <f>ROUND('All at USDF'!E11*E7,0)</f>
        <v>2826</v>
      </c>
      <c r="F23" s="31">
        <f>ROUND('All at USDF'!F11*F7,0)</f>
        <v>3768</v>
      </c>
      <c r="G23" s="31">
        <f>ROUND('All at USDF'!G11*G7,0)</f>
        <v>4710</v>
      </c>
      <c r="H23" s="31">
        <f>ROUND('All at USDF'!H11*H7,0)</f>
        <v>5651</v>
      </c>
      <c r="I23" s="31">
        <f>ROUND('All at USDF'!I11*I7,0)</f>
        <v>6593</v>
      </c>
      <c r="J23" s="31">
        <f>ROUND('All at USDF'!J11*J7,0)</f>
        <v>7535</v>
      </c>
      <c r="K23" s="31">
        <f>ROUND('All at USDF'!K11*K7,0)</f>
        <v>8477</v>
      </c>
      <c r="L23" s="31">
        <f>ROUND('All at USDF'!L11*L7,0)</f>
        <v>9419</v>
      </c>
    </row>
    <row r="24" spans="1:12" x14ac:dyDescent="0.2">
      <c r="A24" s="30" t="s">
        <v>142</v>
      </c>
      <c r="B24" s="30" t="s">
        <v>29</v>
      </c>
      <c r="C24" s="31">
        <f>ROUND('All at USDF'!C11*C8,0)</f>
        <v>1884</v>
      </c>
      <c r="D24" s="31">
        <f>ROUND('All at USDF'!D11*D8,0)</f>
        <v>3768</v>
      </c>
      <c r="E24" s="31">
        <f>ROUND('All at USDF'!E11*E8,0)</f>
        <v>5652</v>
      </c>
      <c r="F24" s="31">
        <f>ROUND('All at USDF'!F11*F8,0)</f>
        <v>7535</v>
      </c>
      <c r="G24" s="31">
        <f>ROUND('All at USDF'!G11*G8,0)</f>
        <v>9419</v>
      </c>
      <c r="H24" s="31">
        <f>ROUND('All at USDF'!H11*H8,0)</f>
        <v>11303</v>
      </c>
      <c r="I24" s="31">
        <f>ROUND('All at USDF'!I11*I8,0)</f>
        <v>13187</v>
      </c>
      <c r="J24" s="31">
        <f>ROUND('All at USDF'!J11*J8,0)</f>
        <v>15070</v>
      </c>
      <c r="K24" s="31">
        <f>ROUND('All at USDF'!K11*K8,0)</f>
        <v>16954</v>
      </c>
      <c r="L24" s="31">
        <f>ROUND('All at USDF'!L11*L8,0)</f>
        <v>18838</v>
      </c>
    </row>
    <row r="25" spans="1:12" x14ac:dyDescent="0.2">
      <c r="A25" s="30" t="s">
        <v>143</v>
      </c>
      <c r="B25" s="30" t="s">
        <v>29</v>
      </c>
      <c r="C25" s="31">
        <f>ROUND('All at USDF'!C11*C9,0)</f>
        <v>1884</v>
      </c>
      <c r="D25" s="31">
        <f>ROUND('All at USDF'!D11*D9,0)</f>
        <v>3768</v>
      </c>
      <c r="E25" s="31">
        <f>ROUND('All at USDF'!E11*E9,0)</f>
        <v>5652</v>
      </c>
      <c r="F25" s="31">
        <f>ROUND('All at USDF'!F11*F9,0)</f>
        <v>7535</v>
      </c>
      <c r="G25" s="31">
        <f>ROUND('All at USDF'!G11*G9,0)</f>
        <v>9419</v>
      </c>
      <c r="H25" s="31">
        <f>ROUND('All at USDF'!H11*H9,0)</f>
        <v>11303</v>
      </c>
      <c r="I25" s="31">
        <f>ROUND('All at USDF'!I11*I9,0)</f>
        <v>13187</v>
      </c>
      <c r="J25" s="31">
        <f>ROUND('All at USDF'!J11*J9,0)</f>
        <v>15070</v>
      </c>
      <c r="K25" s="31">
        <f>ROUND('All at USDF'!K11*K9,0)</f>
        <v>16954</v>
      </c>
      <c r="L25" s="31">
        <f>ROUND('All at USDF'!L11*L9,0)</f>
        <v>18838</v>
      </c>
    </row>
    <row r="27" spans="1:12" x14ac:dyDescent="0.2">
      <c r="A27" s="3" t="s">
        <v>146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x14ac:dyDescent="0.2">
      <c r="A28" s="30" t="s">
        <v>147</v>
      </c>
      <c r="B28" s="30" t="s">
        <v>67</v>
      </c>
      <c r="C28" s="33">
        <f>C23/'Key Numbers'!$B$27</f>
        <v>5.4137931034482757E-2</v>
      </c>
      <c r="D28" s="33">
        <f>D23/'Key Numbers'!$B$27</f>
        <v>0.10827586206896551</v>
      </c>
      <c r="E28" s="33">
        <f>E23/'Key Numbers'!$B$27</f>
        <v>0.16241379310344828</v>
      </c>
      <c r="F28" s="33">
        <f>F23/'Key Numbers'!$B$27</f>
        <v>0.21655172413793103</v>
      </c>
      <c r="G28" s="33">
        <f>G23/'Key Numbers'!$B$27</f>
        <v>0.27068965517241378</v>
      </c>
      <c r="H28" s="33">
        <f>H23/'Key Numbers'!$B$27</f>
        <v>0.32477011494252872</v>
      </c>
      <c r="I28" s="33">
        <f>I23/'Key Numbers'!$B$27</f>
        <v>0.3789080459770115</v>
      </c>
      <c r="J28" s="33">
        <f>J23/'Key Numbers'!$B$27</f>
        <v>0.43304597701149428</v>
      </c>
      <c r="K28" s="33">
        <f>K23/'Key Numbers'!$B$27</f>
        <v>0.487183908045977</v>
      </c>
      <c r="L28" s="33">
        <f>L23/'Key Numbers'!$B$27</f>
        <v>0.54132183908045972</v>
      </c>
    </row>
    <row r="29" spans="1:12" x14ac:dyDescent="0.2">
      <c r="A29" s="30" t="s">
        <v>148</v>
      </c>
      <c r="B29" s="30" t="s">
        <v>67</v>
      </c>
      <c r="C29" s="33">
        <f>C15/'Key Numbers'!$B$33</f>
        <v>0.16579199038492803</v>
      </c>
      <c r="D29" s="33">
        <f>D15/'Key Numbers'!$B$33</f>
        <v>0.33158398076985607</v>
      </c>
      <c r="E29" s="33">
        <f>E15/'Key Numbers'!$B$33</f>
        <v>0.49737597115478405</v>
      </c>
      <c r="F29" s="33">
        <f>F15/'Key Numbers'!$B$33</f>
        <v>0.66316796153971214</v>
      </c>
      <c r="G29" s="33">
        <f>G15/'Key Numbers'!$B$33</f>
        <v>0.82895995192464011</v>
      </c>
      <c r="H29" s="33">
        <f>H15/'Key Numbers'!$B$33</f>
        <v>0.99475194230956809</v>
      </c>
      <c r="I29" s="33">
        <f>I15/'Key Numbers'!$B$33</f>
        <v>1.1605439326944962</v>
      </c>
      <c r="J29" s="33">
        <f>J15/'Key Numbers'!$B$33</f>
        <v>1.3263359230794243</v>
      </c>
      <c r="K29" s="33">
        <f>K15/'Key Numbers'!$B$33</f>
        <v>1.4921279134643524</v>
      </c>
      <c r="L29" s="33">
        <f>L15/'Key Numbers'!$B$33</f>
        <v>1.6579199038492802</v>
      </c>
    </row>
    <row r="30" spans="1:12" x14ac:dyDescent="0.2">
      <c r="A30" s="30" t="s">
        <v>149</v>
      </c>
      <c r="B30" s="30" t="s">
        <v>23</v>
      </c>
      <c r="C30" s="31">
        <f t="shared" ref="C30:L30" si="3">C14</f>
        <v>6631679.6153971208</v>
      </c>
      <c r="D30" s="31">
        <f t="shared" si="3"/>
        <v>13263359.230794242</v>
      </c>
      <c r="E30" s="31">
        <f t="shared" si="3"/>
        <v>19895038.846191362</v>
      </c>
      <c r="F30" s="31">
        <f t="shared" si="3"/>
        <v>26526718.461588483</v>
      </c>
      <c r="G30" s="31">
        <f t="shared" si="3"/>
        <v>33158398.076985605</v>
      </c>
      <c r="H30" s="31">
        <f t="shared" si="3"/>
        <v>39790077.692382723</v>
      </c>
      <c r="I30" s="31">
        <f t="shared" si="3"/>
        <v>46421757.307779849</v>
      </c>
      <c r="J30" s="31">
        <f t="shared" si="3"/>
        <v>53053436.923176967</v>
      </c>
      <c r="K30" s="31">
        <f t="shared" si="3"/>
        <v>59685116.538574092</v>
      </c>
      <c r="L30" s="31">
        <f t="shared" si="3"/>
        <v>66316796.15397121</v>
      </c>
    </row>
    <row r="31" spans="1:12" x14ac:dyDescent="0.2">
      <c r="A31" s="2" t="s">
        <v>150</v>
      </c>
    </row>
    <row r="33" spans="1:12" x14ac:dyDescent="0.2">
      <c r="A33" s="3" t="s">
        <v>151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 x14ac:dyDescent="0.2">
      <c r="A34" s="30" t="s">
        <v>152</v>
      </c>
      <c r="B34" s="30" t="s">
        <v>48</v>
      </c>
      <c r="C34" s="37">
        <f>'All at USDF'!C24*C8</f>
        <v>6.58</v>
      </c>
      <c r="D34" s="37">
        <f>'All at USDF'!D24*D8</f>
        <v>13.16</v>
      </c>
      <c r="E34" s="37">
        <f>'All at USDF'!E24*E8</f>
        <v>19.739999999999998</v>
      </c>
      <c r="F34" s="37">
        <f>'All at USDF'!F24*F8</f>
        <v>26.32</v>
      </c>
      <c r="G34" s="37">
        <f>'All at USDF'!G24*G8</f>
        <v>32.9</v>
      </c>
      <c r="H34" s="37">
        <f>'All at USDF'!H24*H8</f>
        <v>39.479999999999997</v>
      </c>
      <c r="I34" s="37">
        <f>'All at USDF'!I24*I8</f>
        <v>46.06</v>
      </c>
      <c r="J34" s="37">
        <f>'All at USDF'!J24*J8</f>
        <v>52.64</v>
      </c>
      <c r="K34" s="37">
        <f>'All at USDF'!K24*K8</f>
        <v>59.22</v>
      </c>
      <c r="L34" s="37">
        <f>'All at USDF'!L24*L8</f>
        <v>65.8</v>
      </c>
    </row>
    <row r="35" spans="1:12" x14ac:dyDescent="0.2">
      <c r="A35" s="35" t="s">
        <v>127</v>
      </c>
      <c r="B35" s="35" t="s">
        <v>11</v>
      </c>
      <c r="C35" s="36">
        <f t="shared" ref="C35:L35" si="4">C34*1000</f>
        <v>6580</v>
      </c>
      <c r="D35" s="36">
        <f t="shared" si="4"/>
        <v>13160</v>
      </c>
      <c r="E35" s="36">
        <f t="shared" si="4"/>
        <v>19740</v>
      </c>
      <c r="F35" s="36">
        <f t="shared" si="4"/>
        <v>26320</v>
      </c>
      <c r="G35" s="36">
        <f t="shared" si="4"/>
        <v>32900</v>
      </c>
      <c r="H35" s="36">
        <f t="shared" si="4"/>
        <v>39480</v>
      </c>
      <c r="I35" s="36">
        <f t="shared" si="4"/>
        <v>46060</v>
      </c>
      <c r="J35" s="36">
        <f t="shared" si="4"/>
        <v>52640</v>
      </c>
      <c r="K35" s="36">
        <f t="shared" si="4"/>
        <v>59220</v>
      </c>
      <c r="L35" s="36">
        <f t="shared" si="4"/>
        <v>65800</v>
      </c>
    </row>
    <row r="36" spans="1:12" x14ac:dyDescent="0.2">
      <c r="A36" s="30" t="s">
        <v>153</v>
      </c>
      <c r="B36" s="30" t="s">
        <v>48</v>
      </c>
      <c r="C36" s="37">
        <f>'All at USDF'!C24*C9</f>
        <v>6.58</v>
      </c>
      <c r="D36" s="37">
        <f>'All at USDF'!D24*D9</f>
        <v>13.16</v>
      </c>
      <c r="E36" s="37">
        <f>'All at USDF'!E24*E9</f>
        <v>19.739999999999998</v>
      </c>
      <c r="F36" s="37">
        <f>'All at USDF'!F24*F9</f>
        <v>26.32</v>
      </c>
      <c r="G36" s="37">
        <f>'All at USDF'!G24*G9</f>
        <v>32.9</v>
      </c>
      <c r="H36" s="37">
        <f>'All at USDF'!H24*H9</f>
        <v>39.479999999999997</v>
      </c>
      <c r="I36" s="37">
        <f>'All at USDF'!I24*I9</f>
        <v>46.06</v>
      </c>
      <c r="J36" s="37">
        <f>'All at USDF'!J24*J9</f>
        <v>52.64</v>
      </c>
      <c r="K36" s="37">
        <f>'All at USDF'!K24*K9</f>
        <v>59.22</v>
      </c>
      <c r="L36" s="37">
        <f>'All at USDF'!L24*L9</f>
        <v>65.8</v>
      </c>
    </row>
    <row r="37" spans="1:12" x14ac:dyDescent="0.2">
      <c r="A37" s="35" t="s">
        <v>127</v>
      </c>
      <c r="B37" s="35" t="s">
        <v>11</v>
      </c>
      <c r="C37" s="36">
        <f t="shared" ref="C37:L37" si="5">C36*1000</f>
        <v>6580</v>
      </c>
      <c r="D37" s="36">
        <f t="shared" si="5"/>
        <v>13160</v>
      </c>
      <c r="E37" s="36">
        <f t="shared" si="5"/>
        <v>19740</v>
      </c>
      <c r="F37" s="36">
        <f t="shared" si="5"/>
        <v>26320</v>
      </c>
      <c r="G37" s="36">
        <f t="shared" si="5"/>
        <v>32900</v>
      </c>
      <c r="H37" s="36">
        <f t="shared" si="5"/>
        <v>39480</v>
      </c>
      <c r="I37" s="36">
        <f t="shared" si="5"/>
        <v>46060</v>
      </c>
      <c r="J37" s="36">
        <f t="shared" si="5"/>
        <v>52640</v>
      </c>
      <c r="K37" s="36">
        <f t="shared" si="5"/>
        <v>59220</v>
      </c>
      <c r="L37" s="36">
        <f t="shared" si="5"/>
        <v>65800</v>
      </c>
    </row>
    <row r="38" spans="1:12" x14ac:dyDescent="0.2">
      <c r="A38" s="30" t="s">
        <v>154</v>
      </c>
      <c r="B38" s="30" t="s">
        <v>48</v>
      </c>
      <c r="C38" s="32">
        <f>'All at USDF'!C20</f>
        <v>47</v>
      </c>
      <c r="D38" s="32">
        <f>'All at USDF'!D20</f>
        <v>94</v>
      </c>
      <c r="E38" s="32">
        <f>'All at USDF'!E20</f>
        <v>141</v>
      </c>
      <c r="F38" s="32">
        <f>'All at USDF'!F20</f>
        <v>188</v>
      </c>
      <c r="G38" s="32">
        <f>'All at USDF'!G20</f>
        <v>235</v>
      </c>
      <c r="H38" s="32">
        <f>'All at USDF'!H20</f>
        <v>282</v>
      </c>
      <c r="I38" s="32">
        <f>'All at USDF'!I20</f>
        <v>329</v>
      </c>
      <c r="J38" s="32">
        <f>'All at USDF'!J20</f>
        <v>376</v>
      </c>
      <c r="K38" s="32">
        <f>'All at USDF'!K20</f>
        <v>423</v>
      </c>
      <c r="L38" s="32">
        <f>'All at USDF'!L20</f>
        <v>470</v>
      </c>
    </row>
    <row r="39" spans="1:12" x14ac:dyDescent="0.2">
      <c r="A39" s="35" t="s">
        <v>127</v>
      </c>
      <c r="B39" s="35" t="s">
        <v>11</v>
      </c>
      <c r="C39" s="36">
        <f t="shared" ref="C39:L39" si="6">C38*1000</f>
        <v>47000</v>
      </c>
      <c r="D39" s="36">
        <f t="shared" si="6"/>
        <v>94000</v>
      </c>
      <c r="E39" s="36">
        <f t="shared" si="6"/>
        <v>141000</v>
      </c>
      <c r="F39" s="36">
        <f t="shared" si="6"/>
        <v>188000</v>
      </c>
      <c r="G39" s="36">
        <f t="shared" si="6"/>
        <v>235000</v>
      </c>
      <c r="H39" s="36">
        <f t="shared" si="6"/>
        <v>282000</v>
      </c>
      <c r="I39" s="36">
        <f t="shared" si="6"/>
        <v>329000</v>
      </c>
      <c r="J39" s="36">
        <f t="shared" si="6"/>
        <v>376000</v>
      </c>
      <c r="K39" s="36">
        <f t="shared" si="6"/>
        <v>423000</v>
      </c>
      <c r="L39" s="36">
        <f t="shared" si="6"/>
        <v>470000</v>
      </c>
    </row>
    <row r="41" spans="1:12" x14ac:dyDescent="0.2">
      <c r="A41" s="2" t="s">
        <v>155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E18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14" customWidth="1"/>
    <col min="3" max="3" width="16" customWidth="1"/>
    <col min="4" max="5" width="14" customWidth="1"/>
  </cols>
  <sheetData>
    <row r="1" spans="1:5" ht="17" x14ac:dyDescent="0.2">
      <c r="A1" s="1" t="s">
        <v>156</v>
      </c>
    </row>
    <row r="3" spans="1:5" x14ac:dyDescent="0.2">
      <c r="A3" s="40" t="s">
        <v>157</v>
      </c>
      <c r="B3" s="41">
        <v>2</v>
      </c>
      <c r="C3" s="2" t="s">
        <v>158</v>
      </c>
    </row>
    <row r="5" spans="1:5" x14ac:dyDescent="0.2">
      <c r="A5" s="29"/>
      <c r="B5" s="29" t="s">
        <v>141</v>
      </c>
      <c r="C5" s="29" t="s">
        <v>159</v>
      </c>
      <c r="D5" s="29" t="s">
        <v>160</v>
      </c>
      <c r="E5" s="29" t="s">
        <v>161</v>
      </c>
    </row>
    <row r="6" spans="1:5" x14ac:dyDescent="0.2">
      <c r="A6" s="30" t="s">
        <v>162</v>
      </c>
      <c r="B6" s="39">
        <f>'Key Numbers'!$B$32</f>
        <v>0.19999999999999996</v>
      </c>
      <c r="C6" s="39">
        <f>'Key Numbers'!$B$30</f>
        <v>0.4</v>
      </c>
      <c r="D6" s="39">
        <f>'Key Numbers'!$B$31</f>
        <v>0.4</v>
      </c>
      <c r="E6" s="42">
        <v>0.1</v>
      </c>
    </row>
    <row r="7" spans="1:5" x14ac:dyDescent="0.2">
      <c r="A7" s="30" t="s">
        <v>163</v>
      </c>
      <c r="B7" s="32">
        <f>'Key Numbers'!$B$13</f>
        <v>120</v>
      </c>
      <c r="C7" s="43">
        <v>120</v>
      </c>
      <c r="D7" s="43">
        <v>120</v>
      </c>
      <c r="E7" s="43">
        <v>128</v>
      </c>
    </row>
    <row r="8" spans="1:5" x14ac:dyDescent="0.2">
      <c r="A8" s="30" t="s">
        <v>164</v>
      </c>
      <c r="B8" s="32">
        <f>'Key Numbers'!$B$14</f>
        <v>200</v>
      </c>
      <c r="C8" s="32">
        <f>'Key Numbers'!$B$14</f>
        <v>200</v>
      </c>
      <c r="D8" s="32">
        <f>'Key Numbers'!$B$14</f>
        <v>200</v>
      </c>
      <c r="E8" s="43">
        <v>200</v>
      </c>
    </row>
    <row r="9" spans="1:5" x14ac:dyDescent="0.2">
      <c r="A9" s="30" t="s">
        <v>165</v>
      </c>
      <c r="B9" s="32">
        <f>'Key Numbers'!$B$27*'Key Numbers'!$B$14*24</f>
        <v>83520000</v>
      </c>
      <c r="C9" s="43"/>
      <c r="D9" s="32">
        <f>'Key Numbers'!$B$33</f>
        <v>40000000</v>
      </c>
      <c r="E9" s="43">
        <v>10000000</v>
      </c>
    </row>
    <row r="10" spans="1:5" x14ac:dyDescent="0.2">
      <c r="A10" s="3" t="s">
        <v>166</v>
      </c>
      <c r="B10" s="4"/>
      <c r="C10" s="4"/>
      <c r="D10" s="4"/>
      <c r="E10" s="4"/>
    </row>
    <row r="11" spans="1:5" x14ac:dyDescent="0.2">
      <c r="A11" s="30" t="s">
        <v>167</v>
      </c>
      <c r="B11" s="44">
        <f>INDEX('All at USDF'!$C$9:$L$9,1,$B$3)</f>
        <v>33158398.076985601</v>
      </c>
      <c r="C11" s="44">
        <f>INDEX('All at USDF'!$C$9:$L$9,1,$B$3)</f>
        <v>33158398.076985601</v>
      </c>
      <c r="D11" s="44">
        <f>INDEX('All at USDF'!$C$9:$L$9,1,$B$3)</f>
        <v>33158398.076985601</v>
      </c>
      <c r="E11" s="44">
        <f>INDEX('All at USDF'!$C$9:$L$9,1,$B$3)</f>
        <v>33158398.076985601</v>
      </c>
    </row>
    <row r="12" spans="1:5" x14ac:dyDescent="0.2">
      <c r="A12" s="30" t="s">
        <v>168</v>
      </c>
      <c r="B12" s="44">
        <f>B11*B6</f>
        <v>6631679.615397119</v>
      </c>
      <c r="C12" s="44">
        <f>C11*C6</f>
        <v>13263359.230794242</v>
      </c>
      <c r="D12" s="44">
        <f>D11*D6</f>
        <v>13263359.230794242</v>
      </c>
      <c r="E12" s="44">
        <f>E11*E6</f>
        <v>3315839.8076985604</v>
      </c>
    </row>
    <row r="13" spans="1:5" x14ac:dyDescent="0.2">
      <c r="A13" s="30" t="s">
        <v>169</v>
      </c>
      <c r="B13" s="44">
        <f>B12/(24*B7)</f>
        <v>2302.6665331239997</v>
      </c>
      <c r="C13" s="44">
        <f>C12/(24*C7)</f>
        <v>4605.3330662480003</v>
      </c>
      <c r="D13" s="44">
        <f>D12/(24*D7)</f>
        <v>4605.3330662480003</v>
      </c>
      <c r="E13" s="44">
        <f>E12/(24*E7)</f>
        <v>1079.3749374018751</v>
      </c>
    </row>
    <row r="14" spans="1:5" x14ac:dyDescent="0.2">
      <c r="A14" s="30" t="s">
        <v>170</v>
      </c>
      <c r="B14" s="44">
        <f>ROUND(B12/(B8*24)*'Key Numbers'!$B$15*(1+'Key Numbers'!$B$16),0)</f>
        <v>1884</v>
      </c>
      <c r="C14" s="44">
        <f>ROUND(C12/(C8*24)*'Key Numbers'!$B$15*(1+'Key Numbers'!$B$16),0)</f>
        <v>3768</v>
      </c>
      <c r="D14" s="44">
        <f>ROUND(D12/(D8*24)*'Key Numbers'!$B$15*(1+'Key Numbers'!$B$16),0)</f>
        <v>3768</v>
      </c>
      <c r="E14" s="44">
        <f>ROUND(E12/(E8*24)*'Key Numbers'!$B$15*(1+'Key Numbers'!$B$16),0)</f>
        <v>942</v>
      </c>
    </row>
    <row r="15" spans="1:5" x14ac:dyDescent="0.2">
      <c r="A15" s="30" t="s">
        <v>171</v>
      </c>
      <c r="B15" s="44">
        <f>ROUNDUP(B14/B7,0)</f>
        <v>16</v>
      </c>
      <c r="C15" s="44">
        <f>ROUNDUP(C14/C7,0)</f>
        <v>32</v>
      </c>
      <c r="D15" s="44">
        <f>ROUNDUP(D14/D7,0)</f>
        <v>32</v>
      </c>
      <c r="E15" s="44">
        <f>ROUNDUP(E14/E7,0)</f>
        <v>8</v>
      </c>
    </row>
    <row r="16" spans="1:5" x14ac:dyDescent="0.2">
      <c r="A16" s="30" t="s">
        <v>172</v>
      </c>
      <c r="B16" s="45">
        <f>IF(B9="","",B12/B9)</f>
        <v>7.9402294245655161E-2</v>
      </c>
      <c r="C16" s="45" t="str">
        <f>IF(C9="","",C12/C9)</f>
        <v/>
      </c>
      <c r="D16" s="45">
        <f>IF(D9="","",D12/D9)</f>
        <v>0.33158398076985607</v>
      </c>
      <c r="E16" s="45">
        <f>IF(E9="","",E12/E9)</f>
        <v>0.33158398076985607</v>
      </c>
    </row>
    <row r="18" spans="1:1" x14ac:dyDescent="0.2">
      <c r="A18" s="2" t="s">
        <v>173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zoomScaleNormal="100" workbookViewId="0">
      <selection activeCell="B15" sqref="B15"/>
    </sheetView>
  </sheetViews>
  <sheetFormatPr baseColWidth="10" defaultColWidth="8.6640625" defaultRowHeight="15" x14ac:dyDescent="0.2"/>
  <cols>
    <col min="1" max="1" width="34" customWidth="1"/>
    <col min="2" max="2" width="100" customWidth="1"/>
  </cols>
  <sheetData>
    <row r="1" spans="1:2" ht="17" x14ac:dyDescent="0.2">
      <c r="A1" s="1" t="s">
        <v>174</v>
      </c>
    </row>
    <row r="2" spans="1:2" ht="48" x14ac:dyDescent="0.2">
      <c r="A2" s="40" t="s">
        <v>175</v>
      </c>
      <c r="B2" s="46" t="s">
        <v>176</v>
      </c>
    </row>
    <row r="3" spans="1:2" ht="16" x14ac:dyDescent="0.2">
      <c r="A3" s="40" t="s">
        <v>177</v>
      </c>
      <c r="B3" s="46" t="s">
        <v>178</v>
      </c>
    </row>
    <row r="5" spans="1:2" ht="17" x14ac:dyDescent="0.2">
      <c r="A5" s="1" t="s">
        <v>179</v>
      </c>
    </row>
    <row r="6" spans="1:2" x14ac:dyDescent="0.2">
      <c r="A6" s="40" t="s">
        <v>180</v>
      </c>
      <c r="B6" s="47" t="s">
        <v>181</v>
      </c>
    </row>
    <row r="7" spans="1:2" ht="29" x14ac:dyDescent="0.2">
      <c r="A7" s="40" t="s">
        <v>182</v>
      </c>
      <c r="B7" s="47" t="s">
        <v>183</v>
      </c>
    </row>
    <row r="8" spans="1:2" x14ac:dyDescent="0.2">
      <c r="A8" s="40" t="s">
        <v>184</v>
      </c>
      <c r="B8" s="47" t="s">
        <v>185</v>
      </c>
    </row>
    <row r="9" spans="1:2" x14ac:dyDescent="0.2">
      <c r="A9" s="40" t="s">
        <v>186</v>
      </c>
      <c r="B9" s="47" t="s">
        <v>187</v>
      </c>
    </row>
    <row r="10" spans="1:2" ht="29" x14ac:dyDescent="0.2">
      <c r="A10" s="40" t="s">
        <v>188</v>
      </c>
      <c r="B10" s="47" t="s">
        <v>189</v>
      </c>
    </row>
    <row r="11" spans="1:2" x14ac:dyDescent="0.2">
      <c r="A11" s="40" t="s">
        <v>190</v>
      </c>
      <c r="B11" s="47" t="s">
        <v>191</v>
      </c>
    </row>
    <row r="12" spans="1:2" x14ac:dyDescent="0.2">
      <c r="A12" s="40" t="s">
        <v>192</v>
      </c>
      <c r="B12" s="47" t="s">
        <v>193</v>
      </c>
    </row>
    <row r="14" spans="1:2" ht="17" x14ac:dyDescent="0.2">
      <c r="A14" s="1" t="s">
        <v>194</v>
      </c>
    </row>
    <row r="15" spans="1:2" ht="43" x14ac:dyDescent="0.2">
      <c r="A15" s="40" t="s">
        <v>195</v>
      </c>
      <c r="B15" s="47" t="s">
        <v>196</v>
      </c>
    </row>
    <row r="16" spans="1:2" x14ac:dyDescent="0.2">
      <c r="A16" s="40" t="s">
        <v>197</v>
      </c>
      <c r="B16" s="47" t="s">
        <v>198</v>
      </c>
    </row>
    <row r="17" spans="1:2" ht="29" x14ac:dyDescent="0.2">
      <c r="A17" s="40" t="s">
        <v>199</v>
      </c>
      <c r="B17" s="47" t="s">
        <v>200</v>
      </c>
    </row>
    <row r="18" spans="1:2" x14ac:dyDescent="0.2">
      <c r="A18" s="40" t="s">
        <v>201</v>
      </c>
      <c r="B18" s="47" t="s">
        <v>202</v>
      </c>
    </row>
    <row r="19" spans="1:2" ht="29" x14ac:dyDescent="0.2">
      <c r="A19" s="40" t="s">
        <v>203</v>
      </c>
      <c r="B19" s="47" t="s">
        <v>204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Key Numbers</vt:lpstr>
      <vt:lpstr>All at USDF</vt:lpstr>
      <vt:lpstr>Facility Split</vt:lpstr>
      <vt:lpstr>DF Template</vt:lpstr>
      <vt:lpstr>Sources &amp; Caveats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Tanikanti, Aditya</cp:lastModifiedBy>
  <cp:revision>0</cp:revision>
  <dcterms:created xsi:type="dcterms:W3CDTF">2026-07-20T15:52:42Z</dcterms:created>
  <dcterms:modified xsi:type="dcterms:W3CDTF">2026-07-20T16:07:59Z</dcterms:modified>
  <dc:language>en-US</dc:language>
</cp:coreProperties>
</file>